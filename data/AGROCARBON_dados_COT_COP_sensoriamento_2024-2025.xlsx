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ints" sheetId="2" state="visible" r:id="rId4"/>
    <sheet name="Samples" sheetId="3" state="visible" r:id="rId5"/>
    <sheet name="Covariates" sheetId="4" state="visible" r:id="rId6"/>
    <sheet name="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<sst xmlns="http://schemas.openxmlformats.org/spreadsheetml/2006/main" count="1596" uniqueCount="249">
  <si>
    <t xml:space="preserve">AGROcarbon · Data for Zenodo: Oliveira et al. (Precision Agriculture)</t>
  </si>
  <si>
    <t xml:space="preserve">Soil carbon fractions and remote sensing covariates at Fazenda Barbosa, Brejo, Maranhão, Brazil (60 points × 3 layers × 2 seasons).</t>
  </si>
  <si>
    <t xml:space="preserve">About this dataset</t>
  </si>
  <si>
    <t xml:space="preserve">Study</t>
  </si>
  <si>
    <t xml:space="preserve">Data supporting “Between-system contrasts can inflate remote sensing accuracy for soil carbon: a call for within-field validation” (M.S. Oliveira et al., Precision Agriculture, submitted). Master’s dissertation of M.S. Oliveira, Graduate Programme in Animal Science (PPGCA), Federal University of Maranhão (UFMA).</t>
  </si>
  <si>
    <t xml:space="preserve">Site</t>
  </si>
  <si>
    <t xml:space="preserve">Fazenda Barbosa, Brejo, Maranhão, north-eastern Brazil (03°42′12″ S, 42°57′39″ W). Argissolo Amarelo Distrocoeso típico (Brazilian Soil Classification System). Climate Aw.</t>
  </si>
  <si>
    <t xml:space="preserve">Systems</t>
  </si>
  <si>
    <t xml:space="preserve">NF, native forest (cerrado sensu stricto; reference); ICL, integrated crop–livestock system (soybean in the rainy season, forage grass with cattle in the dry season, maize every five years, disc harrowing to 200 mm before maize); MP, managed pasture (Megathyrsus maximus cv. Massai, rotational stocking). Original field codes: MN, ILP8 and PM.</t>
  </si>
  <si>
    <t xml:space="preserve">Design</t>
  </si>
  <si>
    <t xml:space="preserve">20 points per system on a regular grid (n = 60), sampled at 0–100, 100–200 and 200–300 mm in the dry season (2 July 2024; ICL under pearl millet) and in the wet season (1 April 2025; soybean at R5–R6).</t>
  </si>
  <si>
    <t xml:space="preserve">Laboratory</t>
  </si>
  <si>
    <t xml:space="preserve">SOC by wet oxidation with potassium dichromate (Walkley &amp; Black, 1934). POC as the fraction retained on a 53 µm sieve after dispersion (Cambardella &amp; Elliott, 1992), carbon by the same oxidation. MAOC = SOC − POC of the same sample. Titrations standardised against the unheated blank of each batch and calibrated with a reference soil (correction factors given per sample; uncorrected values also given).</t>
  </si>
  <si>
    <t xml:space="preserve">Covariates</t>
  </si>
  <si>
    <t xml:space="preserve">UAV (MicaSense RedEdge-P on DJI Matrice 350 RTK, September 2024, 80 mm GSD, Agisoft Metashape); PlanetScope (cloud-free bare-soil scenes from April to October 2024); Sentinel-2 L2A single-date median (15 Jun–15 Aug 2024), wet-season bare-soil composite (15 May–31 Aug 2025) and 2019–2024 time series; Copernicus GLO-30 terrain; SoilGrids 2.0 clay and sand. Values are means within a 10 m radius of each point.</t>
  </si>
  <si>
    <t xml:space="preserve">Units</t>
  </si>
  <si>
    <t xml:space="preserve">Carbon contents in g kg⁻¹ (dry soil). Depths in mm. Coordinates in WGS 84 (decimal degrees) and SIRGAS 2000 / UTM zone 23S (EPSG:31983).</t>
  </si>
  <si>
    <t xml:space="preserve">Sheets</t>
  </si>
  <si>
    <t xml:space="preserve">Points: location of the 60 points. Samples: one row per point × layer × season (360 rows). Covariates: one row per point (60 rows). Dictionary: definition and unit of every column.</t>
  </si>
  <si>
    <t xml:space="preserve">Code</t>
  </si>
  <si>
    <t xml:space="preserve">Jupyter notebook and Python module of the analyses: https://github.com/agrocarbon-ufma/soc-within-field-validation (folder notebooks).</t>
  </si>
  <si>
    <t xml:space="preserve">Dataset DOI</t>
  </si>
  <si>
    <t xml:space="preserve">https://doi.org/[DOI] (Zenodo, archived from the GitHub release v1.0.0).</t>
  </si>
  <si>
    <t xml:space="preserve">How to cite</t>
  </si>
  <si>
    <t xml:space="preserve">Oliveira, M.S., Santos, G.A.A., 2026. Data and code for: Between-system contrasts can inflate remote sensing accuracy for soil carbon: a call for within-field validation (v1.0.0) [Dataset and software]. Zenodo. https://doi.org/[DOI]</t>
  </si>
  <si>
    <t xml:space="preserve">Licence</t>
  </si>
  <si>
    <t xml:space="preserve">Creative Commons Attribution 4.0 International (CC BY 4.0) for data; code under the licence stated in its repository.</t>
  </si>
  <si>
    <t xml:space="preserve">Contact</t>
  </si>
  <si>
    <t xml:space="preserve">Gustavo André de Araújo Santos, AGROCARBON, UFMA — gustavo.andre@ufma.br</t>
  </si>
  <si>
    <t xml:space="preserve">Points</t>
  </si>
  <si>
    <t xml:space="preserve">One row per sampling point. Point_ID links Points, Samples and Covariates.</t>
  </si>
  <si>
    <t xml:space="preserve">Point_ID</t>
  </si>
  <si>
    <t xml:space="preserve">System</t>
  </si>
  <si>
    <t xml:space="preserve">Original code</t>
  </si>
  <si>
    <t xml:space="preserve">Point</t>
  </si>
  <si>
    <t xml:space="preserve">Latitude (WGS 84)</t>
  </si>
  <si>
    <t xml:space="preserve">Longitude (WGS 84)</t>
  </si>
  <si>
    <t xml:space="preserve">E (UTM 23S, m)</t>
  </si>
  <si>
    <t xml:space="preserve">N (UTM 23S, m)</t>
  </si>
  <si>
    <t xml:space="preserve">Influential POC point (dry season, 0–100 mm)</t>
  </si>
  <si>
    <t xml:space="preserve">Note</t>
  </si>
  <si>
    <t xml:space="preserve">NF</t>
  </si>
  <si>
    <t xml:space="preserve">MN</t>
  </si>
  <si>
    <t xml:space="preserve">no</t>
  </si>
  <si>
    <t xml:space="preserve">ICL</t>
  </si>
  <si>
    <t xml:space="preserve">ILP8</t>
  </si>
  <si>
    <t xml:space="preserve">yes</t>
  </si>
  <si>
    <t xml:space="preserve">Robust z-score |z| &gt; 3.5 within system (MAD)</t>
  </si>
  <si>
    <t xml:space="preserve">MP</t>
  </si>
  <si>
    <t xml:space="preserve">PM</t>
  </si>
  <si>
    <t xml:space="preserve">Samples</t>
  </si>
  <si>
    <t xml:space="preserve">One row per point × layer × season. Corrected values were used in the article; uncorrected values are given for the sensitivity analysis (Online Resource 1).</t>
  </si>
  <si>
    <t xml:space="preserve">Sample_ID</t>
  </si>
  <si>
    <t xml:space="preserve">Season</t>
  </si>
  <si>
    <t xml:space="preserve">Sampling date</t>
  </si>
  <si>
    <t xml:space="preserve">Depth top (mm)</t>
  </si>
  <si>
    <t xml:space="preserve">Depth bottom (mm)</t>
  </si>
  <si>
    <t xml:space="preserve">Layer (mm)</t>
  </si>
  <si>
    <t xml:space="preserve">SOC (g kg⁻¹)</t>
  </si>
  <si>
    <t xml:space="preserve">POC (g kg⁻¹)</t>
  </si>
  <si>
    <t xml:space="preserve">MAOC (g kg⁻¹) = SOC − POC</t>
  </si>
  <si>
    <t xml:space="preserve">POC/SOC (%)</t>
  </si>
  <si>
    <t xml:space="preserve">SOC uncorrected (g kg⁻¹)</t>
  </si>
  <si>
    <t xml:space="preserve">POC uncorrected (g kg⁻¹)</t>
  </si>
  <si>
    <t xml:space="preserve">Correction factor SOC</t>
  </si>
  <si>
    <t xml:space="preserve">Correction factor POC</t>
  </si>
  <si>
    <t xml:space="preserve">Processing note</t>
  </si>
  <si>
    <t xml:space="preserve">dry</t>
  </si>
  <si>
    <t xml:space="preserve">2024-07-02</t>
  </si>
  <si>
    <t xml:space="preserve">SOC sample mass taken as 316.8 mg (216.8 mg in the original sheet, probable typing error)</t>
  </si>
  <si>
    <t xml:space="preserve">Influential POC value (robust |z| &gt; 3.5)</t>
  </si>
  <si>
    <t xml:space="preserve">wet</t>
  </si>
  <si>
    <t xml:space="preserve">2025-04-01</t>
  </si>
  <si>
    <t xml:space="preserve">POC blanks as in the laboratory report</t>
  </si>
  <si>
    <t xml:space="preserve">POC blanks as in the laboratory report; POC mass/titration as in the laboratory report</t>
  </si>
  <si>
    <t xml:space="preserve">One row per point. Means within a 10 m radius. Prefixes: UAV_, PS_ (PlanetScope), S2_ (single date, dry 2024), S2wet_ (bare soil after soybean harvest, 2025), S2ts_ (time series 2019–2024).</t>
  </si>
  <si>
    <t xml:space="preserve">UAV_NDVI</t>
  </si>
  <si>
    <t xml:space="preserve">UAV_NDRE</t>
  </si>
  <si>
    <t xml:space="preserve">UAV_NDWI</t>
  </si>
  <si>
    <t xml:space="preserve">PS_NDVI</t>
  </si>
  <si>
    <t xml:space="preserve">PS_NDRE</t>
  </si>
  <si>
    <t xml:space="preserve">PS_NDWI</t>
  </si>
  <si>
    <t xml:space="preserve">S2_B11</t>
  </si>
  <si>
    <t xml:space="preserve">S2_B12</t>
  </si>
  <si>
    <t xml:space="preserve">S2_B2</t>
  </si>
  <si>
    <t xml:space="preserve">S2_B3</t>
  </si>
  <si>
    <t xml:space="preserve">S2_B4</t>
  </si>
  <si>
    <t xml:space="preserve">S2_B5</t>
  </si>
  <si>
    <t xml:space="preserve">S2_B6</t>
  </si>
  <si>
    <t xml:space="preserve">S2_B7</t>
  </si>
  <si>
    <t xml:space="preserve">S2_B8</t>
  </si>
  <si>
    <t xml:space="preserve">S2_B8A</t>
  </si>
  <si>
    <t xml:space="preserve">S2_BSI</t>
  </si>
  <si>
    <t xml:space="preserve">S2_EVI</t>
  </si>
  <si>
    <t xml:space="preserve">S2_NDMI</t>
  </si>
  <si>
    <t xml:space="preserve">S2_NDRE</t>
  </si>
  <si>
    <t xml:space="preserve">S2_NDVI</t>
  </si>
  <si>
    <t xml:space="preserve">S2_NDWI</t>
  </si>
  <si>
    <t xml:space="preserve">S2_SAVI</t>
  </si>
  <si>
    <t xml:space="preserve">S2wet_B11</t>
  </si>
  <si>
    <t xml:space="preserve">S2wet_B12</t>
  </si>
  <si>
    <t xml:space="preserve">S2wet_B2</t>
  </si>
  <si>
    <t xml:space="preserve">S2wet_B3</t>
  </si>
  <si>
    <t xml:space="preserve">S2wet_B4</t>
  </si>
  <si>
    <t xml:space="preserve">S2wet_B5</t>
  </si>
  <si>
    <t xml:space="preserve">S2wet_B6</t>
  </si>
  <si>
    <t xml:space="preserve">S2wet_B7</t>
  </si>
  <si>
    <t xml:space="preserve">S2wet_B8</t>
  </si>
  <si>
    <t xml:space="preserve">S2wet_B8A</t>
  </si>
  <si>
    <t xml:space="preserve">S2wet_BSI</t>
  </si>
  <si>
    <t xml:space="preserve">S2wet_EVI</t>
  </si>
  <si>
    <t xml:space="preserve">S2wet_NDMI</t>
  </si>
  <si>
    <t xml:space="preserve">S2wet_NDRE</t>
  </si>
  <si>
    <t xml:space="preserve">S2wet_NDVI</t>
  </si>
  <si>
    <t xml:space="preserve">S2wet_NDWI</t>
  </si>
  <si>
    <t xml:space="preserve">S2wet_SAVI</t>
  </si>
  <si>
    <t xml:space="preserve">S2ts_BSI_seca</t>
  </si>
  <si>
    <t xml:space="preserve">S2ts_NDVI_chuva</t>
  </si>
  <si>
    <t xml:space="preserve">S2ts_NDVI_dp</t>
  </si>
  <si>
    <t xml:space="preserve">S2ts_NDVI_seca</t>
  </si>
  <si>
    <t xml:space="preserve">S2ts_freq_solo_exposto</t>
  </si>
  <si>
    <t xml:space="preserve">TPI_150m</t>
  </si>
  <si>
    <t xml:space="preserve">Slope_deg</t>
  </si>
  <si>
    <t xml:space="preserve">Elevation_m</t>
  </si>
  <si>
    <t xml:space="preserve">SG_clay_g_kg</t>
  </si>
  <si>
    <t xml:space="preserve">SG_sand_g_kg</t>
  </si>
  <si>
    <t xml:space="preserve">NF-01</t>
  </si>
  <si>
    <t xml:space="preserve">NF-02</t>
  </si>
  <si>
    <t xml:space="preserve">NF-03</t>
  </si>
  <si>
    <t xml:space="preserve">NF-04</t>
  </si>
  <si>
    <t xml:space="preserve">NF-05</t>
  </si>
  <si>
    <t xml:space="preserve">NF-06</t>
  </si>
  <si>
    <t xml:space="preserve">NF-07</t>
  </si>
  <si>
    <t xml:space="preserve">NF-08</t>
  </si>
  <si>
    <t xml:space="preserve">NF-09</t>
  </si>
  <si>
    <t xml:space="preserve">NF-10</t>
  </si>
  <si>
    <t xml:space="preserve">NF-11</t>
  </si>
  <si>
    <t xml:space="preserve">NF-12</t>
  </si>
  <si>
    <t xml:space="preserve">NF-13</t>
  </si>
  <si>
    <t xml:space="preserve">NF-14</t>
  </si>
  <si>
    <t xml:space="preserve">NF-15</t>
  </si>
  <si>
    <t xml:space="preserve">NF-16</t>
  </si>
  <si>
    <t xml:space="preserve">NF-17</t>
  </si>
  <si>
    <t xml:space="preserve">NF-18</t>
  </si>
  <si>
    <t xml:space="preserve">NF-19</t>
  </si>
  <si>
    <t xml:space="preserve">NF-20</t>
  </si>
  <si>
    <t xml:space="preserve">ICL-01</t>
  </si>
  <si>
    <t xml:space="preserve">ICL-02</t>
  </si>
  <si>
    <t xml:space="preserve">ICL-03</t>
  </si>
  <si>
    <t xml:space="preserve">ICL-04</t>
  </si>
  <si>
    <t xml:space="preserve">ICL-05</t>
  </si>
  <si>
    <t xml:space="preserve">ICL-06</t>
  </si>
  <si>
    <t xml:space="preserve">ICL-07</t>
  </si>
  <si>
    <t xml:space="preserve">ICL-08</t>
  </si>
  <si>
    <t xml:space="preserve">ICL-09</t>
  </si>
  <si>
    <t xml:space="preserve">ICL-10</t>
  </si>
  <si>
    <t xml:space="preserve">ICL-11</t>
  </si>
  <si>
    <t xml:space="preserve">ICL-12</t>
  </si>
  <si>
    <t xml:space="preserve">ICL-13</t>
  </si>
  <si>
    <t xml:space="preserve">ICL-14</t>
  </si>
  <si>
    <t xml:space="preserve">ICL-15</t>
  </si>
  <si>
    <t xml:space="preserve">ICL-16</t>
  </si>
  <si>
    <t xml:space="preserve">ICL-17</t>
  </si>
  <si>
    <t xml:space="preserve">ICL-18</t>
  </si>
  <si>
    <t xml:space="preserve">ICL-19</t>
  </si>
  <si>
    <t xml:space="preserve">ICL-20</t>
  </si>
  <si>
    <t xml:space="preserve">MP-01</t>
  </si>
  <si>
    <t xml:space="preserve">MP-02</t>
  </si>
  <si>
    <t xml:space="preserve">MP-03</t>
  </si>
  <si>
    <t xml:space="preserve">MP-04</t>
  </si>
  <si>
    <t xml:space="preserve">MP-05</t>
  </si>
  <si>
    <t xml:space="preserve">MP-06</t>
  </si>
  <si>
    <t xml:space="preserve">MP-07</t>
  </si>
  <si>
    <t xml:space="preserve">MP-08</t>
  </si>
  <si>
    <t xml:space="preserve">MP-09</t>
  </si>
  <si>
    <t xml:space="preserve">MP-10</t>
  </si>
  <si>
    <t xml:space="preserve">MP-11</t>
  </si>
  <si>
    <t xml:space="preserve">MP-12</t>
  </si>
  <si>
    <t xml:space="preserve">MP-13</t>
  </si>
  <si>
    <t xml:space="preserve">MP-14</t>
  </si>
  <si>
    <t xml:space="preserve">MP-15</t>
  </si>
  <si>
    <t xml:space="preserve">MP-16</t>
  </si>
  <si>
    <t xml:space="preserve">MP-17</t>
  </si>
  <si>
    <t xml:space="preserve">MP-18</t>
  </si>
  <si>
    <t xml:space="preserve">MP-19</t>
  </si>
  <si>
    <t xml:space="preserve">MP-20</t>
  </si>
  <si>
    <t xml:space="preserve">Dictionary</t>
  </si>
  <si>
    <t xml:space="preserve">Definition, unit and source of every column.</t>
  </si>
  <si>
    <t xml:space="preserve">Sheet</t>
  </si>
  <si>
    <t xml:space="preserve">Column</t>
  </si>
  <si>
    <t xml:space="preserve">Unit</t>
  </si>
  <si>
    <t xml:space="preserve">Description</t>
  </si>
  <si>
    <t xml:space="preserve">–</t>
  </si>
  <si>
    <t xml:space="preserve">System code and point number (e.g. ICL-06).</t>
  </si>
  <si>
    <t xml:space="preserve">NF, native forest; ICL, integrated crop–livestock system; MP, managed pasture.</t>
  </si>
  <si>
    <t xml:space="preserve">Field code used in the laboratory sheets (MN, ILP8, PM).</t>
  </si>
  <si>
    <t xml:space="preserve">Latitude / Longitude</t>
  </si>
  <si>
    <t xml:space="preserve">decimal degrees</t>
  </si>
  <si>
    <t xml:space="preserve">WGS 84; south and west negative. GNSS receiver.</t>
  </si>
  <si>
    <t xml:space="preserve">E / N</t>
  </si>
  <si>
    <t xml:space="preserve">m</t>
  </si>
  <si>
    <t xml:space="preserve">SIRGAS 2000 / UTM zone 23S (EPSG:31983).</t>
  </si>
  <si>
    <t xml:space="preserve">Influential POC point</t>
  </si>
  <si>
    <t xml:space="preserve">yes/no</t>
  </si>
  <si>
    <t xml:space="preserve">Flagged by robust z-score |z| &gt; 3.5 (median absolute deviation) within system, dry season, 0–100 mm.</t>
  </si>
  <si>
    <t xml:space="preserve">System-point-layer-season.</t>
  </si>
  <si>
    <t xml:space="preserve">Season / Sampling date</t>
  </si>
  <si>
    <t xml:space="preserve">dry = 2 July 2024 (ICL under pearl millet); wet = 1 April 2025 (soybean at R5–R6).</t>
  </si>
  <si>
    <t xml:space="preserve">Depth top / bottom</t>
  </si>
  <si>
    <t xml:space="preserve">mm</t>
  </si>
  <si>
    <t xml:space="preserve">Layer limits: 0–100, 100–200, 200–300 mm.</t>
  </si>
  <si>
    <t xml:space="preserve">SOC</t>
  </si>
  <si>
    <t xml:space="preserve">g kg⁻¹</t>
  </si>
  <si>
    <t xml:space="preserve">Soil organic carbon, wet oxidation with K₂Cr₂O₇ (Walkley &amp; Black, 1934), corrected by the batch factor. Used in the article.</t>
  </si>
  <si>
    <t xml:space="preserve">POC</t>
  </si>
  <si>
    <t xml:space="preserve">Particulate organic carbon, fraction &gt; 53 µm after dispersion (Cambardella &amp; Elliott, 1992), corrected; negative values set to zero.</t>
  </si>
  <si>
    <t xml:space="preserve">MAOC</t>
  </si>
  <si>
    <t xml:space="preserve">Mineral-associated organic carbon = SOC − POC of the same sample (formula).</t>
  </si>
  <si>
    <t xml:space="preserve">POC/SOC</t>
  </si>
  <si>
    <t xml:space="preserve">%</t>
  </si>
  <si>
    <t xml:space="preserve">100 × POC / SOC (formula).</t>
  </si>
  <si>
    <t xml:space="preserve">SOC / POC uncorrected</t>
  </si>
  <si>
    <t xml:space="preserve">Values as originally computed from the titrations, before standardisation.</t>
  </si>
  <si>
    <t xml:space="preserve">Correction factor</t>
  </si>
  <si>
    <t xml:space="preserve">0.957 × 25 / Vbn, where Vbn is the unheated blank of the batch; 0.957 calibrates the reference soil.</t>
  </si>
  <si>
    <t xml:space="preserve">Corrections applied to the original laboratory sheet, and influential values.</t>
  </si>
  <si>
    <t xml:space="preserve">UAV_NDVI, UAV_NDRE, UAV_NDWI</t>
  </si>
  <si>
    <t xml:space="preserve">Indices from the UAV orthomosaic (MicaSense RedEdge-P, September 2024).</t>
  </si>
  <si>
    <t xml:space="preserve">PS_NDVI, PS_NDRE, PS_NDWI</t>
  </si>
  <si>
    <t xml:space="preserve">Indices from PlanetScope surface reflectance (cloud-free bare-soil scenes, April–October 2024).</t>
  </si>
  <si>
    <t xml:space="preserve">S2_B2 … S2_B12</t>
  </si>
  <si>
    <t xml:space="preserve">reflectance</t>
  </si>
  <si>
    <t xml:space="preserve">Sentinel-2 L2A bands, median 15 June–15 August 2024.</t>
  </si>
  <si>
    <t xml:space="preserve">S2_NDVI, NDRE, NDWI, NDMI, EVI, SAVI, BSI</t>
  </si>
  <si>
    <t xml:space="preserve">Sentinel-2 indices from the same composite; BSI, bare soil index.</t>
  </si>
  <si>
    <t xml:space="preserve">S2wet_*</t>
  </si>
  <si>
    <t xml:space="preserve">reflectance / –</t>
  </si>
  <si>
    <t xml:space="preserve">Sentinel-2 bare-soil composite after the soybean harvest (15 May–31 August 2025; per-pixel maximum BSI); wet-season test.</t>
  </si>
  <si>
    <t xml:space="preserve">S2ts_NDVI_seca, S2ts_NDVI_chuva</t>
  </si>
  <si>
    <t xml:space="preserve">Mean NDVI 2019–2024 in dry (June–October) and rainy (January–May) months.</t>
  </si>
  <si>
    <t xml:space="preserve">Standard deviation of NDVI, 2019–2024.</t>
  </si>
  <si>
    <t xml:space="preserve">Mean dry-season BSI, 2019–2024.</t>
  </si>
  <si>
    <t xml:space="preserve">fraction</t>
  </si>
  <si>
    <t xml:space="preserve">Frequency of bare soil (NDVI &lt; 0.25 and BSI &gt; 0), 2019–2024.</t>
  </si>
  <si>
    <t xml:space="preserve">Elevation_m, Slope_deg, TPI_150m</t>
  </si>
  <si>
    <t xml:space="preserve">m, °, m</t>
  </si>
  <si>
    <t xml:space="preserve">Copernicus GLO-30 DEM; topographic position index in a 150 m radius.</t>
  </si>
  <si>
    <t xml:space="preserve">SG_clay_g_kg, SG_sand_g_kg</t>
  </si>
  <si>
    <t xml:space="preserve">SoilGrids 2.0, mean 0–300 mm (Poggio et al., 2021).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</si>
</sst>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0"/>
    <numFmt numFmtId="167" formatCode="0.000"/>
    <numFmt numFmtId="168" formatCode="0.0"/>
    <numFmt numFmtId="169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13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513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13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1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971280</xdr:colOff>
      <xdr:row>1</xdr:row>
      <xdr:rowOff>104400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97128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125280</xdr:colOff>
      <xdr:row>1</xdr:row>
      <xdr:rowOff>104400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97128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971280</xdr:colOff>
      <xdr:row>1</xdr:row>
      <xdr:rowOff>104400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97128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125280</xdr:colOff>
      <xdr:row>1</xdr:row>
      <xdr:rowOff>104400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97128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971280</xdr:colOff>
      <xdr:row>1</xdr:row>
      <xdr:rowOff>104400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97128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5.5" hidden="false" customHeight="true" outlineLevel="0" collapsed="false">
      <c r="B1" s="1" t="s">
        <v>0</v>
      </c>
    </row>
    <row r="2" customFormat="false" ht="15" hidden="false" customHeight="true" outlineLevel="0" collapsed="false">
      <c r="B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9" hidden="false" customHeight="true" outlineLevel="0" collapsed="false">
      <c r="A5" s="4" t="s">
        <v>3</v>
      </c>
      <c r="B5" s="5" t="s">
        <v>4</v>
      </c>
    </row>
    <row r="6" customFormat="false" ht="25.5" hidden="false" customHeight="true" outlineLevel="0" collapsed="false">
      <c r="A6" s="4" t="s">
        <v>5</v>
      </c>
      <c r="B6" s="5" t="s">
        <v>6</v>
      </c>
    </row>
    <row r="7" customFormat="false" ht="39" hidden="false" customHeight="true" outlineLevel="0" collapsed="false">
      <c r="A7" s="4" t="s">
        <v>7</v>
      </c>
      <c r="B7" s="5" t="s">
        <v>8</v>
      </c>
    </row>
    <row r="8" customFormat="false" ht="25.5" hidden="false" customHeight="true" outlineLevel="0" collapsed="false">
      <c r="A8" s="4" t="s">
        <v>9</v>
      </c>
      <c r="B8" s="5" t="s">
        <v>10</v>
      </c>
    </row>
    <row r="9" customFormat="false" ht="39" hidden="false" customHeight="true" outlineLevel="0" collapsed="false">
      <c r="A9" s="4" t="s">
        <v>11</v>
      </c>
      <c r="B9" s="5" t="s">
        <v>12</v>
      </c>
    </row>
    <row r="10" customFormat="false" ht="39" hidden="false" customHeight="true" outlineLevel="0" collapsed="false">
      <c r="A10" s="4" t="s">
        <v>13</v>
      </c>
      <c r="B10" s="5" t="s">
        <v>14</v>
      </c>
    </row>
    <row r="11" customFormat="false" ht="13.5" hidden="false" customHeight="true" outlineLevel="0" collapsed="false">
      <c r="A11" s="4" t="s">
        <v>15</v>
      </c>
      <c r="B11" s="5" t="s">
        <v>16</v>
      </c>
    </row>
    <row r="12" customFormat="false" ht="25.5" hidden="false" customHeight="true" outlineLevel="0" collapsed="false">
      <c r="A12" s="4" t="s">
        <v>17</v>
      </c>
      <c r="B12" s="5" t="s">
        <v>18</v>
      </c>
    </row>
    <row r="13" customFormat="false" ht="13.5" hidden="false" customHeight="true" outlineLevel="0" collapsed="false">
      <c r="A13" s="4" t="s">
        <v>19</v>
      </c>
      <c r="B13" s="5" t="s">
        <v>20</v>
      </c>
    </row>
    <row r="14" customFormat="false" ht="13.5" hidden="false" customHeight="true" outlineLevel="0" collapsed="false">
      <c r="A14" s="4" t="s">
        <v>21</v>
      </c>
      <c r="B14" s="5" t="s">
        <v>22</v>
      </c>
    </row>
    <row r="15" customFormat="false" ht="25.5" hidden="false" customHeight="true" outlineLevel="0" collapsed="false">
      <c r="A15" s="4" t="s">
        <v>23</v>
      </c>
      <c r="B15" s="5" t="s">
        <v>24</v>
      </c>
    </row>
    <row r="16" customFormat="false" ht="13.5" hidden="false" customHeight="true" outlineLevel="0" collapsed="false">
      <c r="A16" s="4" t="s">
        <v>25</v>
      </c>
      <c r="B16" s="5" t="s">
        <v>26</v>
      </c>
    </row>
    <row r="17" customFormat="false" ht="13.5" hidden="false" customHeight="true" outlineLevel="0" collapsed="false">
      <c r="A17" s="4" t="s">
        <v>27</v>
      </c>
      <c r="B17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5.5" hidden="false" customHeight="true" outlineLevel="0" collapsed="false">
      <c r="B1" s="1" t="s">
        <v>29</v>
      </c>
    </row>
    <row r="2" customFormat="false" ht="15" hidden="false" customHeight="true" outlineLevel="0" collapsed="false">
      <c r="B2" s="2" t="s">
        <v>30</v>
      </c>
    </row>
    <row r="4" customFormat="false" ht="42" hidden="false" customHeight="true" outlineLevel="0" collapsed="false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</row>
    <row r="5" customFormat="false" ht="15" hidden="false" customHeight="false" outlineLevel="0" collapsed="false">
      <c r="A5" s="7" t="str">
        <f aca="false">B5&amp;"-"&amp;TEXT(D5,"00")</f>
        <v>NF-01</v>
      </c>
      <c r="B5" s="8" t="s">
        <v>41</v>
      </c>
      <c r="C5" s="8" t="s">
        <v>42</v>
      </c>
      <c r="D5" s="8" t="n">
        <v>1</v>
      </c>
      <c r="E5" s="9" t="n">
        <v>-3.701481</v>
      </c>
      <c r="F5" s="9" t="n">
        <v>-42.970426</v>
      </c>
      <c r="G5" s="10" t="n">
        <v>725419.88</v>
      </c>
      <c r="H5" s="10" t="n">
        <v>9590611.57</v>
      </c>
      <c r="I5" s="8" t="s">
        <v>43</v>
      </c>
      <c r="J5" s="11"/>
    </row>
    <row r="6" customFormat="false" ht="15" hidden="false" customHeight="false" outlineLevel="0" collapsed="false">
      <c r="A6" s="7" t="str">
        <f aca="false">B6&amp;"-"&amp;TEXT(D6,"00")</f>
        <v>NF-02</v>
      </c>
      <c r="B6" s="8" t="s">
        <v>41</v>
      </c>
      <c r="C6" s="8" t="s">
        <v>42</v>
      </c>
      <c r="D6" s="8" t="n">
        <v>2</v>
      </c>
      <c r="E6" s="9" t="n">
        <v>-3.701477</v>
      </c>
      <c r="F6" s="9" t="n">
        <v>-42.968635</v>
      </c>
      <c r="G6" s="10" t="n">
        <v>725618.89</v>
      </c>
      <c r="H6" s="10" t="n">
        <v>9590611.57</v>
      </c>
      <c r="I6" s="8" t="s">
        <v>43</v>
      </c>
      <c r="J6" s="11"/>
    </row>
    <row r="7" customFormat="false" ht="15" hidden="false" customHeight="false" outlineLevel="0" collapsed="false">
      <c r="A7" s="7" t="str">
        <f aca="false">B7&amp;"-"&amp;TEXT(D7,"00")</f>
        <v>NF-03</v>
      </c>
      <c r="B7" s="8" t="s">
        <v>41</v>
      </c>
      <c r="C7" s="8" t="s">
        <v>42</v>
      </c>
      <c r="D7" s="8" t="n">
        <v>3</v>
      </c>
      <c r="E7" s="9" t="n">
        <v>-3.702852</v>
      </c>
      <c r="F7" s="9" t="n">
        <v>-42.970412</v>
      </c>
      <c r="G7" s="10" t="n">
        <v>725421.03</v>
      </c>
      <c r="H7" s="10" t="n">
        <v>9590460</v>
      </c>
      <c r="I7" s="8" t="s">
        <v>43</v>
      </c>
      <c r="J7" s="11"/>
    </row>
    <row r="8" customFormat="false" ht="15" hidden="false" customHeight="false" outlineLevel="0" collapsed="false">
      <c r="A8" s="7" t="str">
        <f aca="false">B8&amp;"-"&amp;TEXT(D8,"00")</f>
        <v>NF-04</v>
      </c>
      <c r="B8" s="8" t="s">
        <v>41</v>
      </c>
      <c r="C8" s="8" t="s">
        <v>42</v>
      </c>
      <c r="D8" s="8" t="n">
        <v>4</v>
      </c>
      <c r="E8" s="9" t="n">
        <v>-3.702847</v>
      </c>
      <c r="F8" s="9" t="n">
        <v>-42.968632</v>
      </c>
      <c r="G8" s="10" t="n">
        <v>725618.88</v>
      </c>
      <c r="H8" s="10" t="n">
        <v>9590460</v>
      </c>
      <c r="I8" s="8" t="s">
        <v>43</v>
      </c>
      <c r="J8" s="11"/>
    </row>
    <row r="9" customFormat="false" ht="15" hidden="false" customHeight="false" outlineLevel="0" collapsed="false">
      <c r="A9" s="7" t="str">
        <f aca="false">B9&amp;"-"&amp;TEXT(D9,"00")</f>
        <v>NF-05</v>
      </c>
      <c r="B9" s="8" t="s">
        <v>41</v>
      </c>
      <c r="C9" s="8" t="s">
        <v>42</v>
      </c>
      <c r="D9" s="8" t="n">
        <v>5</v>
      </c>
      <c r="E9" s="9" t="n">
        <v>-3.702149</v>
      </c>
      <c r="F9" s="9" t="n">
        <v>-42.969539</v>
      </c>
      <c r="G9" s="10" t="n">
        <v>725518.23</v>
      </c>
      <c r="H9" s="10" t="n">
        <v>9590537.52</v>
      </c>
      <c r="I9" s="8" t="s">
        <v>43</v>
      </c>
      <c r="J9" s="11"/>
    </row>
    <row r="10" customFormat="false" ht="15" hidden="false" customHeight="false" outlineLevel="0" collapsed="false">
      <c r="A10" s="7" t="str">
        <f aca="false">B10&amp;"-"&amp;TEXT(D10,"00")</f>
        <v>NF-06</v>
      </c>
      <c r="B10" s="8" t="s">
        <v>41</v>
      </c>
      <c r="C10" s="8" t="s">
        <v>42</v>
      </c>
      <c r="D10" s="8" t="n">
        <v>6</v>
      </c>
      <c r="E10" s="9" t="n">
        <v>-3.701441</v>
      </c>
      <c r="F10" s="9" t="n">
        <v>-42.966834</v>
      </c>
      <c r="G10" s="10" t="n">
        <v>725819.06</v>
      </c>
      <c r="H10" s="10" t="n">
        <v>9590615.05</v>
      </c>
      <c r="I10" s="8" t="s">
        <v>43</v>
      </c>
      <c r="J10" s="11"/>
    </row>
    <row r="11" customFormat="false" ht="15" hidden="false" customHeight="false" outlineLevel="0" collapsed="false">
      <c r="A11" s="7" t="str">
        <f aca="false">B11&amp;"-"&amp;TEXT(D11,"00")</f>
        <v>NF-07</v>
      </c>
      <c r="B11" s="8" t="s">
        <v>41</v>
      </c>
      <c r="C11" s="8" t="s">
        <v>42</v>
      </c>
      <c r="D11" s="8" t="n">
        <v>7</v>
      </c>
      <c r="E11" s="9" t="n">
        <v>-3.702843</v>
      </c>
      <c r="F11" s="9" t="n">
        <v>-42.96681</v>
      </c>
      <c r="G11" s="10" t="n">
        <v>725821.37</v>
      </c>
      <c r="H11" s="10" t="n">
        <v>9590460</v>
      </c>
      <c r="I11" s="8" t="s">
        <v>43</v>
      </c>
      <c r="J11" s="11"/>
    </row>
    <row r="12" customFormat="false" ht="15" hidden="false" customHeight="false" outlineLevel="0" collapsed="false">
      <c r="A12" s="7" t="str">
        <f aca="false">B12&amp;"-"&amp;TEXT(D12,"00")</f>
        <v>NF-08</v>
      </c>
      <c r="B12" s="8" t="s">
        <v>41</v>
      </c>
      <c r="C12" s="8" t="s">
        <v>42</v>
      </c>
      <c r="D12" s="8" t="n">
        <v>8</v>
      </c>
      <c r="E12" s="9" t="n">
        <v>-3.702123</v>
      </c>
      <c r="F12" s="9" t="n">
        <v>-42.967696</v>
      </c>
      <c r="G12" s="10" t="n">
        <v>725723.01</v>
      </c>
      <c r="H12" s="10" t="n">
        <v>9590539.84</v>
      </c>
      <c r="I12" s="8" t="s">
        <v>43</v>
      </c>
      <c r="J12" s="11"/>
    </row>
    <row r="13" customFormat="false" ht="15" hidden="false" customHeight="false" outlineLevel="0" collapsed="false">
      <c r="A13" s="7" t="str">
        <f aca="false">B13&amp;"-"&amp;TEXT(D13,"00")</f>
        <v>NF-09</v>
      </c>
      <c r="B13" s="8" t="s">
        <v>41</v>
      </c>
      <c r="C13" s="8" t="s">
        <v>42</v>
      </c>
      <c r="D13" s="8" t="n">
        <v>9</v>
      </c>
      <c r="E13" s="9" t="n">
        <v>-3.701479</v>
      </c>
      <c r="F13" s="9" t="n">
        <v>-42.965042</v>
      </c>
      <c r="G13" s="10" t="n">
        <v>726018.06</v>
      </c>
      <c r="H13" s="10" t="n">
        <v>9590610.41</v>
      </c>
      <c r="I13" s="8" t="s">
        <v>43</v>
      </c>
      <c r="J13" s="11"/>
    </row>
    <row r="14" customFormat="false" ht="15" hidden="false" customHeight="false" outlineLevel="0" collapsed="false">
      <c r="A14" s="7" t="str">
        <f aca="false">B14&amp;"-"&amp;TEXT(D14,"00")</f>
        <v>NF-10</v>
      </c>
      <c r="B14" s="8" t="s">
        <v>41</v>
      </c>
      <c r="C14" s="8" t="s">
        <v>42</v>
      </c>
      <c r="D14" s="8" t="n">
        <v>10</v>
      </c>
      <c r="E14" s="9" t="n">
        <v>-3.70213</v>
      </c>
      <c r="F14" s="9" t="n">
        <v>-42.965916</v>
      </c>
      <c r="G14" s="10" t="n">
        <v>725920.87</v>
      </c>
      <c r="H14" s="10" t="n">
        <v>9590538.67</v>
      </c>
      <c r="I14" s="8" t="s">
        <v>43</v>
      </c>
      <c r="J14" s="11"/>
    </row>
    <row r="15" customFormat="false" ht="15" hidden="false" customHeight="false" outlineLevel="0" collapsed="false">
      <c r="A15" s="7" t="str">
        <f aca="false">B15&amp;"-"&amp;TEXT(D15,"00")</f>
        <v>NF-11</v>
      </c>
      <c r="B15" s="8" t="s">
        <v>41</v>
      </c>
      <c r="C15" s="8" t="s">
        <v>42</v>
      </c>
      <c r="D15" s="8" t="n">
        <v>11</v>
      </c>
      <c r="E15" s="9" t="n">
        <v>-3.701465</v>
      </c>
      <c r="F15" s="9" t="n">
        <v>-42.96322</v>
      </c>
      <c r="G15" s="10" t="n">
        <v>726220.54</v>
      </c>
      <c r="H15" s="10" t="n">
        <v>9590611.57</v>
      </c>
      <c r="I15" s="8" t="s">
        <v>43</v>
      </c>
      <c r="J15" s="11"/>
    </row>
    <row r="16" customFormat="false" ht="15" hidden="false" customHeight="false" outlineLevel="0" collapsed="false">
      <c r="A16" s="7" t="str">
        <f aca="false">B16&amp;"-"&amp;TEXT(D16,"00")</f>
        <v>NF-12</v>
      </c>
      <c r="B16" s="8" t="s">
        <v>41</v>
      </c>
      <c r="C16" s="8" t="s">
        <v>42</v>
      </c>
      <c r="D16" s="8" t="n">
        <v>12</v>
      </c>
      <c r="E16" s="9" t="n">
        <v>-3.702126</v>
      </c>
      <c r="F16" s="9" t="n">
        <v>-42.964093</v>
      </c>
      <c r="G16" s="10" t="n">
        <v>726123.35</v>
      </c>
      <c r="H16" s="10" t="n">
        <v>9590538.67</v>
      </c>
      <c r="I16" s="8" t="s">
        <v>43</v>
      </c>
      <c r="J16" s="11"/>
    </row>
    <row r="17" customFormat="false" ht="15" hidden="false" customHeight="false" outlineLevel="0" collapsed="false">
      <c r="A17" s="7" t="str">
        <f aca="false">B17&amp;"-"&amp;TEXT(D17,"00")</f>
        <v>NF-13</v>
      </c>
      <c r="B17" s="8" t="s">
        <v>41</v>
      </c>
      <c r="C17" s="8" t="s">
        <v>42</v>
      </c>
      <c r="D17" s="8" t="n">
        <v>13</v>
      </c>
      <c r="E17" s="9" t="n">
        <v>-3.70146</v>
      </c>
      <c r="F17" s="9" t="n">
        <v>-42.961429</v>
      </c>
      <c r="G17" s="10" t="n">
        <v>726419.55</v>
      </c>
      <c r="H17" s="10" t="n">
        <v>9590611.57</v>
      </c>
      <c r="I17" s="8" t="s">
        <v>43</v>
      </c>
      <c r="J17" s="11"/>
    </row>
    <row r="18" customFormat="false" ht="15" hidden="false" customHeight="false" outlineLevel="0" collapsed="false">
      <c r="A18" s="7" t="str">
        <f aca="false">B18&amp;"-"&amp;TEXT(D18,"00")</f>
        <v>NF-14</v>
      </c>
      <c r="B18" s="8" t="s">
        <v>41</v>
      </c>
      <c r="C18" s="8" t="s">
        <v>42</v>
      </c>
      <c r="D18" s="8" t="n">
        <v>14</v>
      </c>
      <c r="E18" s="9" t="n">
        <v>-3.70008</v>
      </c>
      <c r="F18" s="9" t="n">
        <v>-42.961422</v>
      </c>
      <c r="G18" s="10" t="n">
        <v>726420.71</v>
      </c>
      <c r="H18" s="10" t="n">
        <v>9590764.3</v>
      </c>
      <c r="I18" s="8" t="s">
        <v>43</v>
      </c>
      <c r="J18" s="11"/>
    </row>
    <row r="19" customFormat="false" ht="15" hidden="false" customHeight="false" outlineLevel="0" collapsed="false">
      <c r="A19" s="7" t="str">
        <f aca="false">B19&amp;"-"&amp;TEXT(D19,"00")</f>
        <v>NF-15</v>
      </c>
      <c r="B19" s="8" t="s">
        <v>41</v>
      </c>
      <c r="C19" s="8" t="s">
        <v>42</v>
      </c>
      <c r="D19" s="8" t="n">
        <v>15</v>
      </c>
      <c r="E19" s="9" t="n">
        <v>-3.700762</v>
      </c>
      <c r="F19" s="9" t="n">
        <v>-42.962316</v>
      </c>
      <c r="G19" s="10" t="n">
        <v>726321.2</v>
      </c>
      <c r="H19" s="10" t="n">
        <v>9590689.1</v>
      </c>
      <c r="I19" s="8" t="s">
        <v>43</v>
      </c>
      <c r="J19" s="11"/>
    </row>
    <row r="20" customFormat="false" ht="15" hidden="false" customHeight="false" outlineLevel="0" collapsed="false">
      <c r="A20" s="7" t="str">
        <f aca="false">B20&amp;"-"&amp;TEXT(D20,"00")</f>
        <v>NF-16</v>
      </c>
      <c r="B20" s="8" t="s">
        <v>41</v>
      </c>
      <c r="C20" s="8" t="s">
        <v>42</v>
      </c>
      <c r="D20" s="8" t="n">
        <v>16</v>
      </c>
      <c r="E20" s="9" t="n">
        <v>-3.700086</v>
      </c>
      <c r="F20" s="9" t="n">
        <v>-42.959631</v>
      </c>
      <c r="G20" s="10" t="n">
        <v>726619.71</v>
      </c>
      <c r="H20" s="10" t="n">
        <v>9590763.15</v>
      </c>
      <c r="I20" s="8" t="s">
        <v>43</v>
      </c>
      <c r="J20" s="11"/>
    </row>
    <row r="21" customFormat="false" ht="15" hidden="false" customHeight="false" outlineLevel="0" collapsed="false">
      <c r="A21" s="7" t="str">
        <f aca="false">B21&amp;"-"&amp;TEXT(D21,"00")</f>
        <v>NF-17</v>
      </c>
      <c r="B21" s="8" t="s">
        <v>41</v>
      </c>
      <c r="C21" s="8" t="s">
        <v>42</v>
      </c>
      <c r="D21" s="8" t="n">
        <v>17</v>
      </c>
      <c r="E21" s="9" t="n">
        <v>-3.701446</v>
      </c>
      <c r="F21" s="9" t="n">
        <v>-42.959607</v>
      </c>
      <c r="G21" s="10" t="n">
        <v>726622.04</v>
      </c>
      <c r="H21" s="10" t="n">
        <v>9590612.73</v>
      </c>
      <c r="I21" s="8" t="s">
        <v>43</v>
      </c>
      <c r="J21" s="11"/>
    </row>
    <row r="22" customFormat="false" ht="15" hidden="false" customHeight="false" outlineLevel="0" collapsed="false">
      <c r="A22" s="7" t="str">
        <f aca="false">B22&amp;"-"&amp;TEXT(D22,"00")</f>
        <v>NF-18</v>
      </c>
      <c r="B22" s="8" t="s">
        <v>41</v>
      </c>
      <c r="C22" s="8" t="s">
        <v>42</v>
      </c>
      <c r="D22" s="8" t="n">
        <v>18</v>
      </c>
      <c r="E22" s="9" t="n">
        <v>-3.700757</v>
      </c>
      <c r="F22" s="9" t="n">
        <v>-42.960504</v>
      </c>
      <c r="G22" s="10" t="n">
        <v>726522.53</v>
      </c>
      <c r="H22" s="10" t="n">
        <v>9590689.1</v>
      </c>
      <c r="I22" s="8" t="s">
        <v>43</v>
      </c>
      <c r="J22" s="11"/>
    </row>
    <row r="23" customFormat="false" ht="15" hidden="false" customHeight="false" outlineLevel="0" collapsed="false">
      <c r="A23" s="7" t="str">
        <f aca="false">B23&amp;"-"&amp;TEXT(D23,"00")</f>
        <v>NF-19</v>
      </c>
      <c r="B23" s="8" t="s">
        <v>41</v>
      </c>
      <c r="C23" s="8" t="s">
        <v>42</v>
      </c>
      <c r="D23" s="8" t="n">
        <v>19</v>
      </c>
      <c r="E23" s="9" t="n">
        <v>-3.704212</v>
      </c>
      <c r="F23" s="9" t="n">
        <v>-42.97042</v>
      </c>
      <c r="G23" s="10" t="n">
        <v>725419.88</v>
      </c>
      <c r="H23" s="10" t="n">
        <v>9590309.59</v>
      </c>
      <c r="I23" s="8" t="s">
        <v>43</v>
      </c>
      <c r="J23" s="11"/>
    </row>
    <row r="24" customFormat="false" ht="15" hidden="false" customHeight="false" outlineLevel="0" collapsed="false">
      <c r="A24" s="7" t="str">
        <f aca="false">B24&amp;"-"&amp;TEXT(D24,"00")</f>
        <v>NF-20</v>
      </c>
      <c r="B24" s="8" t="s">
        <v>41</v>
      </c>
      <c r="C24" s="8" t="s">
        <v>42</v>
      </c>
      <c r="D24" s="8" t="n">
        <v>20</v>
      </c>
      <c r="E24" s="9" t="n">
        <v>-3.703498</v>
      </c>
      <c r="F24" s="9" t="n">
        <v>-42.969505</v>
      </c>
      <c r="G24" s="10" t="n">
        <v>725521.69</v>
      </c>
      <c r="H24" s="10" t="n">
        <v>9590388.26</v>
      </c>
      <c r="I24" s="8" t="s">
        <v>43</v>
      </c>
      <c r="J24" s="11"/>
    </row>
    <row r="25" customFormat="false" ht="15" hidden="false" customHeight="false" outlineLevel="0" collapsed="false">
      <c r="A25" s="7" t="str">
        <f aca="false">B25&amp;"-"&amp;TEXT(D25,"00")</f>
        <v>ICL-01</v>
      </c>
      <c r="B25" s="8" t="s">
        <v>44</v>
      </c>
      <c r="C25" s="8" t="s">
        <v>45</v>
      </c>
      <c r="D25" s="8" t="n">
        <v>1</v>
      </c>
      <c r="E25" s="9" t="n">
        <v>-3.702327</v>
      </c>
      <c r="F25" s="9" t="n">
        <v>-42.960553</v>
      </c>
      <c r="G25" s="10" t="n">
        <v>726516.74</v>
      </c>
      <c r="H25" s="10" t="n">
        <v>9590515.54</v>
      </c>
      <c r="I25" s="8" t="s">
        <v>43</v>
      </c>
      <c r="J25" s="11"/>
    </row>
    <row r="26" customFormat="false" ht="15" hidden="false" customHeight="false" outlineLevel="0" collapsed="false">
      <c r="A26" s="7" t="str">
        <f aca="false">B26&amp;"-"&amp;TEXT(D26,"00")</f>
        <v>ICL-02</v>
      </c>
      <c r="B26" s="8" t="s">
        <v>44</v>
      </c>
      <c r="C26" s="8" t="s">
        <v>45</v>
      </c>
      <c r="D26" s="8" t="n">
        <v>2</v>
      </c>
      <c r="E26" s="9" t="n">
        <v>-3.702324</v>
      </c>
      <c r="F26" s="9" t="n">
        <v>-42.959199</v>
      </c>
      <c r="G26" s="10" t="n">
        <v>726667.16</v>
      </c>
      <c r="H26" s="10" t="n">
        <v>9590515.54</v>
      </c>
      <c r="I26" s="8" t="s">
        <v>43</v>
      </c>
      <c r="J26" s="11"/>
    </row>
    <row r="27" customFormat="false" ht="15" hidden="false" customHeight="false" outlineLevel="0" collapsed="false">
      <c r="A27" s="7" t="str">
        <f aca="false">B27&amp;"-"&amp;TEXT(D27,"00")</f>
        <v>ICL-03</v>
      </c>
      <c r="B27" s="8" t="s">
        <v>44</v>
      </c>
      <c r="C27" s="8" t="s">
        <v>45</v>
      </c>
      <c r="D27" s="8" t="n">
        <v>3</v>
      </c>
      <c r="E27" s="9" t="n">
        <v>-3.703746</v>
      </c>
      <c r="F27" s="9" t="n">
        <v>-42.959175</v>
      </c>
      <c r="G27" s="10" t="n">
        <v>726669.47</v>
      </c>
      <c r="H27" s="10" t="n">
        <v>9590358.18</v>
      </c>
      <c r="I27" s="8" t="s">
        <v>43</v>
      </c>
      <c r="J27" s="11"/>
    </row>
    <row r="28" customFormat="false" ht="15" hidden="false" customHeight="false" outlineLevel="0" collapsed="false">
      <c r="A28" s="7" t="str">
        <f aca="false">B28&amp;"-"&amp;TEXT(D28,"00")</f>
        <v>ICL-04</v>
      </c>
      <c r="B28" s="8" t="s">
        <v>44</v>
      </c>
      <c r="C28" s="8" t="s">
        <v>45</v>
      </c>
      <c r="D28" s="8" t="n">
        <v>4</v>
      </c>
      <c r="E28" s="9" t="n">
        <v>-3.703701</v>
      </c>
      <c r="F28" s="9" t="n">
        <v>-42.95778</v>
      </c>
      <c r="G28" s="10" t="n">
        <v>726824.51</v>
      </c>
      <c r="H28" s="10" t="n">
        <v>9590362.82</v>
      </c>
      <c r="I28" s="8" t="s">
        <v>43</v>
      </c>
      <c r="J28" s="11"/>
    </row>
    <row r="29" customFormat="false" ht="15" hidden="false" customHeight="false" outlineLevel="0" collapsed="false">
      <c r="A29" s="7" t="str">
        <f aca="false">B29&amp;"-"&amp;TEXT(D29,"00")</f>
        <v>ICL-05</v>
      </c>
      <c r="B29" s="8" t="s">
        <v>44</v>
      </c>
      <c r="C29" s="8" t="s">
        <v>45</v>
      </c>
      <c r="D29" s="8" t="n">
        <v>5</v>
      </c>
      <c r="E29" s="9" t="n">
        <v>-3.705124</v>
      </c>
      <c r="F29" s="9" t="n">
        <v>-42.957839</v>
      </c>
      <c r="G29" s="10" t="n">
        <v>726817.57</v>
      </c>
      <c r="H29" s="10" t="n">
        <v>9590205.45</v>
      </c>
      <c r="I29" s="8" t="s">
        <v>43</v>
      </c>
      <c r="J29" s="11"/>
    </row>
    <row r="30" customFormat="false" ht="15" hidden="false" customHeight="false" outlineLevel="0" collapsed="false">
      <c r="A30" s="7" t="str">
        <f aca="false">B30&amp;"-"&amp;TEXT(D30,"00")</f>
        <v>ICL-06</v>
      </c>
      <c r="B30" s="8" t="s">
        <v>44</v>
      </c>
      <c r="C30" s="8" t="s">
        <v>45</v>
      </c>
      <c r="D30" s="8" t="n">
        <v>6</v>
      </c>
      <c r="E30" s="9" t="n">
        <v>-3.706418</v>
      </c>
      <c r="F30" s="9" t="n">
        <v>-42.956461</v>
      </c>
      <c r="G30" s="10" t="n">
        <v>726970.3</v>
      </c>
      <c r="H30" s="10" t="n">
        <v>9590061.99</v>
      </c>
      <c r="I30" s="8" t="s">
        <v>46</v>
      </c>
      <c r="J30" s="11" t="s">
        <v>47</v>
      </c>
    </row>
    <row r="31" customFormat="false" ht="15" hidden="false" customHeight="false" outlineLevel="0" collapsed="false">
      <c r="A31" s="7" t="str">
        <f aca="false">B31&amp;"-"&amp;TEXT(D31,"00")</f>
        <v>ICL-07</v>
      </c>
      <c r="B31" s="8" t="s">
        <v>44</v>
      </c>
      <c r="C31" s="8" t="s">
        <v>45</v>
      </c>
      <c r="D31" s="8" t="n">
        <v>7</v>
      </c>
      <c r="E31" s="9" t="n">
        <v>-3.707757</v>
      </c>
      <c r="F31" s="9" t="n">
        <v>-42.9565</v>
      </c>
      <c r="G31" s="10" t="n">
        <v>726965.67</v>
      </c>
      <c r="H31" s="10" t="n">
        <v>9589913.89</v>
      </c>
      <c r="I31" s="8" t="s">
        <v>46</v>
      </c>
      <c r="J31" s="11" t="s">
        <v>47</v>
      </c>
    </row>
    <row r="32" customFormat="false" ht="15" hidden="false" customHeight="false" outlineLevel="0" collapsed="false">
      <c r="A32" s="7" t="str">
        <f aca="false">B32&amp;"-"&amp;TEXT(D32,"00")</f>
        <v>ICL-08</v>
      </c>
      <c r="B32" s="8" t="s">
        <v>44</v>
      </c>
      <c r="C32" s="8" t="s">
        <v>45</v>
      </c>
      <c r="D32" s="8" t="n">
        <v>8</v>
      </c>
      <c r="E32" s="9" t="n">
        <v>-3.707775</v>
      </c>
      <c r="F32" s="9" t="n">
        <v>-42.955146</v>
      </c>
      <c r="G32" s="10" t="n">
        <v>727116.08</v>
      </c>
      <c r="H32" s="10" t="n">
        <v>9589911.57</v>
      </c>
      <c r="I32" s="8" t="s">
        <v>46</v>
      </c>
      <c r="J32" s="11" t="s">
        <v>47</v>
      </c>
    </row>
    <row r="33" customFormat="false" ht="15" hidden="false" customHeight="false" outlineLevel="0" collapsed="false">
      <c r="A33" s="7" t="str">
        <f aca="false">B33&amp;"-"&amp;TEXT(D33,"00")</f>
        <v>ICL-09</v>
      </c>
      <c r="B33" s="8" t="s">
        <v>44</v>
      </c>
      <c r="C33" s="8" t="s">
        <v>45</v>
      </c>
      <c r="D33" s="8" t="n">
        <v>9</v>
      </c>
      <c r="E33" s="9" t="n">
        <v>-3.709135</v>
      </c>
      <c r="F33" s="9" t="n">
        <v>-42.955101</v>
      </c>
      <c r="G33" s="10" t="n">
        <v>727120.71</v>
      </c>
      <c r="H33" s="10" t="n">
        <v>9589761.16</v>
      </c>
      <c r="I33" s="8" t="s">
        <v>46</v>
      </c>
      <c r="J33" s="11" t="s">
        <v>47</v>
      </c>
    </row>
    <row r="34" customFormat="false" ht="15" hidden="false" customHeight="false" outlineLevel="0" collapsed="false">
      <c r="A34" s="7" t="str">
        <f aca="false">B34&amp;"-"&amp;TEXT(D34,"00")</f>
        <v>ICL-10</v>
      </c>
      <c r="B34" s="8" t="s">
        <v>44</v>
      </c>
      <c r="C34" s="8" t="s">
        <v>45</v>
      </c>
      <c r="D34" s="8" t="n">
        <v>10</v>
      </c>
      <c r="E34" s="9" t="n">
        <v>-3.710491</v>
      </c>
      <c r="F34" s="9" t="n">
        <v>-42.953745</v>
      </c>
      <c r="G34" s="10" t="n">
        <v>727271.13</v>
      </c>
      <c r="H34" s="10" t="n">
        <v>9589610.74</v>
      </c>
      <c r="I34" s="8" t="s">
        <v>43</v>
      </c>
      <c r="J34" s="11"/>
    </row>
    <row r="35" customFormat="false" ht="15" hidden="false" customHeight="false" outlineLevel="0" collapsed="false">
      <c r="A35" s="7" t="str">
        <f aca="false">B35&amp;"-"&amp;TEXT(D35,"00")</f>
        <v>ICL-11</v>
      </c>
      <c r="B35" s="8" t="s">
        <v>44</v>
      </c>
      <c r="C35" s="8" t="s">
        <v>45</v>
      </c>
      <c r="D35" s="8" t="n">
        <v>11</v>
      </c>
      <c r="E35" s="9" t="n">
        <v>-3.711872</v>
      </c>
      <c r="F35" s="9" t="n">
        <v>-42.953804</v>
      </c>
      <c r="G35" s="10" t="n">
        <v>727264.18</v>
      </c>
      <c r="H35" s="10" t="n">
        <v>9589458.01</v>
      </c>
      <c r="I35" s="8" t="s">
        <v>43</v>
      </c>
      <c r="J35" s="11"/>
    </row>
    <row r="36" customFormat="false" ht="15" hidden="false" customHeight="false" outlineLevel="0" collapsed="false">
      <c r="A36" s="7" t="str">
        <f aca="false">B36&amp;"-"&amp;TEXT(D36,"00")</f>
        <v>ICL-12</v>
      </c>
      <c r="B36" s="8" t="s">
        <v>44</v>
      </c>
      <c r="C36" s="8" t="s">
        <v>45</v>
      </c>
      <c r="D36" s="8" t="n">
        <v>12</v>
      </c>
      <c r="E36" s="9" t="n">
        <v>-3.711848</v>
      </c>
      <c r="F36" s="9" t="n">
        <v>-42.952429</v>
      </c>
      <c r="G36" s="10" t="n">
        <v>727416.92</v>
      </c>
      <c r="H36" s="10" t="n">
        <v>9589460.32</v>
      </c>
      <c r="I36" s="8" t="s">
        <v>43</v>
      </c>
      <c r="J36" s="11"/>
    </row>
    <row r="37" customFormat="false" ht="15" hidden="false" customHeight="false" outlineLevel="0" collapsed="false">
      <c r="A37" s="7" t="str">
        <f aca="false">B37&amp;"-"&amp;TEXT(D37,"00")</f>
        <v>ICL-13</v>
      </c>
      <c r="B37" s="8" t="s">
        <v>44</v>
      </c>
      <c r="C37" s="8" t="s">
        <v>45</v>
      </c>
      <c r="D37" s="8" t="n">
        <v>13</v>
      </c>
      <c r="E37" s="9" t="n">
        <v>-3.713166</v>
      </c>
      <c r="F37" s="9" t="n">
        <v>-42.952405</v>
      </c>
      <c r="G37" s="10" t="n">
        <v>727419.23</v>
      </c>
      <c r="H37" s="10" t="n">
        <v>9589314.54</v>
      </c>
      <c r="I37" s="8" t="s">
        <v>43</v>
      </c>
      <c r="J37" s="11"/>
    </row>
    <row r="38" customFormat="false" ht="15" hidden="false" customHeight="false" outlineLevel="0" collapsed="false">
      <c r="A38" s="7" t="str">
        <f aca="false">B38&amp;"-"&amp;TEXT(D38,"00")</f>
        <v>ICL-14</v>
      </c>
      <c r="B38" s="8" t="s">
        <v>44</v>
      </c>
      <c r="C38" s="8" t="s">
        <v>45</v>
      </c>
      <c r="D38" s="8" t="n">
        <v>14</v>
      </c>
      <c r="E38" s="9" t="n">
        <v>-3.713205</v>
      </c>
      <c r="F38" s="9" t="n">
        <v>-42.951052</v>
      </c>
      <c r="G38" s="10" t="n">
        <v>727569.64</v>
      </c>
      <c r="H38" s="10" t="n">
        <v>9589309.91</v>
      </c>
      <c r="I38" s="8" t="s">
        <v>43</v>
      </c>
      <c r="J38" s="11"/>
    </row>
    <row r="39" customFormat="false" ht="15" hidden="false" customHeight="false" outlineLevel="0" collapsed="false">
      <c r="A39" s="7" t="str">
        <f aca="false">B39&amp;"-"&amp;TEXT(D39,"00")</f>
        <v>ICL-15</v>
      </c>
      <c r="B39" s="8" t="s">
        <v>44</v>
      </c>
      <c r="C39" s="8" t="s">
        <v>45</v>
      </c>
      <c r="D39" s="8" t="n">
        <v>15</v>
      </c>
      <c r="E39" s="9" t="n">
        <v>-3.714544</v>
      </c>
      <c r="F39" s="9" t="n">
        <v>-42.951049</v>
      </c>
      <c r="G39" s="10" t="n">
        <v>727569.64</v>
      </c>
      <c r="H39" s="10" t="n">
        <v>9589161.81</v>
      </c>
      <c r="I39" s="8" t="s">
        <v>43</v>
      </c>
      <c r="J39" s="11"/>
    </row>
    <row r="40" customFormat="false" ht="15" hidden="false" customHeight="false" outlineLevel="0" collapsed="false">
      <c r="A40" s="7" t="str">
        <f aca="false">B40&amp;"-"&amp;TEXT(D40,"00")</f>
        <v>ICL-16</v>
      </c>
      <c r="B40" s="8" t="s">
        <v>44</v>
      </c>
      <c r="C40" s="8" t="s">
        <v>45</v>
      </c>
      <c r="D40" s="8" t="n">
        <v>16</v>
      </c>
      <c r="E40" s="9" t="n">
        <v>-3.71588</v>
      </c>
      <c r="F40" s="9" t="n">
        <v>-42.949671</v>
      </c>
      <c r="G40" s="10" t="n">
        <v>727722.37</v>
      </c>
      <c r="H40" s="10" t="n">
        <v>9589013.71</v>
      </c>
      <c r="I40" s="8" t="s">
        <v>43</v>
      </c>
      <c r="J40" s="11"/>
    </row>
    <row r="41" customFormat="false" ht="15" hidden="false" customHeight="false" outlineLevel="0" collapsed="false">
      <c r="A41" s="7" t="str">
        <f aca="false">B41&amp;"-"&amp;TEXT(D41,"00")</f>
        <v>ICL-17</v>
      </c>
      <c r="B41" s="8" t="s">
        <v>44</v>
      </c>
      <c r="C41" s="8" t="s">
        <v>45</v>
      </c>
      <c r="D41" s="8" t="n">
        <v>17</v>
      </c>
      <c r="E41" s="9" t="n">
        <v>-3.715904</v>
      </c>
      <c r="F41" s="9" t="n">
        <v>-42.951045</v>
      </c>
      <c r="G41" s="10" t="n">
        <v>727569.65</v>
      </c>
      <c r="H41" s="10" t="n">
        <v>9589011.39</v>
      </c>
      <c r="I41" s="8" t="s">
        <v>43</v>
      </c>
      <c r="J41" s="11"/>
    </row>
    <row r="42" customFormat="false" ht="15" hidden="false" customHeight="false" outlineLevel="0" collapsed="false">
      <c r="A42" s="7" t="str">
        <f aca="false">B42&amp;"-"&amp;TEXT(D42,"00")</f>
        <v>ICL-18</v>
      </c>
      <c r="B42" s="8" t="s">
        <v>44</v>
      </c>
      <c r="C42" s="8" t="s">
        <v>45</v>
      </c>
      <c r="D42" s="8" t="n">
        <v>18</v>
      </c>
      <c r="E42" s="9" t="n">
        <v>-3.717198</v>
      </c>
      <c r="F42" s="9" t="n">
        <v>-42.949668</v>
      </c>
      <c r="G42" s="10" t="n">
        <v>727722.37</v>
      </c>
      <c r="H42" s="10" t="n">
        <v>9588867.93</v>
      </c>
      <c r="I42" s="8" t="s">
        <v>43</v>
      </c>
      <c r="J42" s="11"/>
    </row>
    <row r="43" customFormat="false" ht="15" hidden="false" customHeight="false" outlineLevel="0" collapsed="false">
      <c r="A43" s="7" t="str">
        <f aca="false">B43&amp;"-"&amp;TEXT(D43,"00")</f>
        <v>ICL-19</v>
      </c>
      <c r="B43" s="8" t="s">
        <v>44</v>
      </c>
      <c r="C43" s="8" t="s">
        <v>45</v>
      </c>
      <c r="D43" s="8" t="n">
        <v>19</v>
      </c>
      <c r="E43" s="9" t="n">
        <v>-3.717257</v>
      </c>
      <c r="F43" s="9" t="n">
        <v>-42.948335</v>
      </c>
      <c r="G43" s="10" t="n">
        <v>727870.47</v>
      </c>
      <c r="H43" s="10" t="n">
        <v>9588860.98</v>
      </c>
      <c r="I43" s="8" t="s">
        <v>43</v>
      </c>
      <c r="J43" s="11"/>
    </row>
    <row r="44" customFormat="false" ht="15" hidden="false" customHeight="false" outlineLevel="0" collapsed="false">
      <c r="A44" s="7" t="str">
        <f aca="false">B44&amp;"-"&amp;TEXT(D44,"00")</f>
        <v>ICL-20</v>
      </c>
      <c r="B44" s="8" t="s">
        <v>44</v>
      </c>
      <c r="C44" s="8" t="s">
        <v>45</v>
      </c>
      <c r="D44" s="8" t="n">
        <v>20</v>
      </c>
      <c r="E44" s="9" t="n">
        <v>-3.718555</v>
      </c>
      <c r="F44" s="9" t="n">
        <v>-42.94829</v>
      </c>
      <c r="G44" s="10" t="n">
        <v>727875.09</v>
      </c>
      <c r="H44" s="10" t="n">
        <v>9588717.51</v>
      </c>
      <c r="I44" s="8" t="s">
        <v>43</v>
      </c>
      <c r="J44" s="11"/>
    </row>
    <row r="45" customFormat="false" ht="15" hidden="false" customHeight="false" outlineLevel="0" collapsed="false">
      <c r="A45" s="7" t="str">
        <f aca="false">B45&amp;"-"&amp;TEXT(D45,"00")</f>
        <v>MP-01</v>
      </c>
      <c r="B45" s="8" t="s">
        <v>48</v>
      </c>
      <c r="C45" s="8" t="s">
        <v>49</v>
      </c>
      <c r="D45" s="8" t="n">
        <v>1</v>
      </c>
      <c r="E45" s="9" t="n">
        <v>-3.700067</v>
      </c>
      <c r="F45" s="9" t="n">
        <v>-42.965077</v>
      </c>
      <c r="G45" s="10" t="n">
        <v>726014.59</v>
      </c>
      <c r="H45" s="10" t="n">
        <v>9590766.62</v>
      </c>
      <c r="I45" s="8" t="s">
        <v>43</v>
      </c>
      <c r="J45" s="11"/>
    </row>
    <row r="46" customFormat="false" ht="15" hidden="false" customHeight="false" outlineLevel="0" collapsed="false">
      <c r="A46" s="7" t="str">
        <f aca="false">B46&amp;"-"&amp;TEXT(D46,"00")</f>
        <v>MP-02</v>
      </c>
      <c r="B46" s="8" t="s">
        <v>48</v>
      </c>
      <c r="C46" s="8" t="s">
        <v>49</v>
      </c>
      <c r="D46" s="8" t="n">
        <v>2</v>
      </c>
      <c r="E46" s="9" t="n">
        <v>-3.699186</v>
      </c>
      <c r="F46" s="9" t="n">
        <v>-42.964121</v>
      </c>
      <c r="G46" s="10" t="n">
        <v>726121.04</v>
      </c>
      <c r="H46" s="10" t="n">
        <v>9590863.8</v>
      </c>
      <c r="I46" s="8" t="s">
        <v>43</v>
      </c>
      <c r="J46" s="11"/>
    </row>
    <row r="47" customFormat="false" ht="15" hidden="false" customHeight="false" outlineLevel="0" collapsed="false">
      <c r="A47" s="7" t="str">
        <f aca="false">B47&amp;"-"&amp;TEXT(D47,"00")</f>
        <v>MP-03</v>
      </c>
      <c r="B47" s="8" t="s">
        <v>48</v>
      </c>
      <c r="C47" s="8" t="s">
        <v>49</v>
      </c>
      <c r="D47" s="8" t="n">
        <v>3</v>
      </c>
      <c r="E47" s="9" t="n">
        <v>-3.698264</v>
      </c>
      <c r="F47" s="9" t="n">
        <v>-42.963259</v>
      </c>
      <c r="G47" s="10" t="n">
        <v>726217.07</v>
      </c>
      <c r="H47" s="10" t="n">
        <v>9590965.63</v>
      </c>
      <c r="I47" s="8" t="s">
        <v>43</v>
      </c>
      <c r="J47" s="11"/>
    </row>
    <row r="48" customFormat="false" ht="15" hidden="false" customHeight="false" outlineLevel="0" collapsed="false">
      <c r="A48" s="7" t="str">
        <f aca="false">B48&amp;"-"&amp;TEXT(D48,"00")</f>
        <v>MP-04</v>
      </c>
      <c r="B48" s="8" t="s">
        <v>48</v>
      </c>
      <c r="C48" s="8" t="s">
        <v>49</v>
      </c>
      <c r="D48" s="8" t="n">
        <v>4</v>
      </c>
      <c r="E48" s="9" t="n">
        <v>-3.69733</v>
      </c>
      <c r="F48" s="9" t="n">
        <v>-42.962324</v>
      </c>
      <c r="G48" s="10" t="n">
        <v>726321.2</v>
      </c>
      <c r="H48" s="10" t="n">
        <v>9591068.61</v>
      </c>
      <c r="I48" s="8" t="s">
        <v>43</v>
      </c>
      <c r="J48" s="11"/>
    </row>
    <row r="49" customFormat="false" ht="15" hidden="false" customHeight="false" outlineLevel="0" collapsed="false">
      <c r="A49" s="7" t="str">
        <f aca="false">B49&amp;"-"&amp;TEXT(D49,"00")</f>
        <v>MP-05</v>
      </c>
      <c r="B49" s="8" t="s">
        <v>48</v>
      </c>
      <c r="C49" s="8" t="s">
        <v>49</v>
      </c>
      <c r="D49" s="8" t="n">
        <v>5</v>
      </c>
      <c r="E49" s="9" t="n">
        <v>-3.699226</v>
      </c>
      <c r="F49" s="9" t="n">
        <v>-42.963288</v>
      </c>
      <c r="G49" s="10" t="n">
        <v>726213.6</v>
      </c>
      <c r="H49" s="10" t="n">
        <v>9590859.18</v>
      </c>
      <c r="I49" s="8" t="s">
        <v>43</v>
      </c>
      <c r="J49" s="11"/>
    </row>
    <row r="50" customFormat="false" ht="15" hidden="false" customHeight="false" outlineLevel="0" collapsed="false">
      <c r="A50" s="7" t="str">
        <f aca="false">B50&amp;"-"&amp;TEXT(D50,"00")</f>
        <v>MP-06</v>
      </c>
      <c r="B50" s="8" t="s">
        <v>48</v>
      </c>
      <c r="C50" s="8" t="s">
        <v>49</v>
      </c>
      <c r="D50" s="8" t="n">
        <v>6</v>
      </c>
      <c r="E50" s="9" t="n">
        <v>-3.698293</v>
      </c>
      <c r="F50" s="9" t="n">
        <v>-42.962353</v>
      </c>
      <c r="G50" s="10" t="n">
        <v>726317.74</v>
      </c>
      <c r="H50" s="10" t="n">
        <v>9590962.16</v>
      </c>
      <c r="I50" s="8" t="s">
        <v>43</v>
      </c>
      <c r="J50" s="11"/>
    </row>
    <row r="51" customFormat="false" ht="15" hidden="false" customHeight="false" outlineLevel="0" collapsed="false">
      <c r="A51" s="7" t="str">
        <f aca="false">B51&amp;"-"&amp;TEXT(D51,"00")</f>
        <v>MP-07</v>
      </c>
      <c r="B51" s="8" t="s">
        <v>48</v>
      </c>
      <c r="C51" s="8" t="s">
        <v>49</v>
      </c>
      <c r="D51" s="8" t="n">
        <v>7</v>
      </c>
      <c r="E51" s="9" t="n">
        <v>-3.697349</v>
      </c>
      <c r="F51" s="9" t="n">
        <v>-42.961439</v>
      </c>
      <c r="G51" s="10" t="n">
        <v>726419.55</v>
      </c>
      <c r="H51" s="10" t="n">
        <v>9591066.29</v>
      </c>
      <c r="I51" s="8" t="s">
        <v>43</v>
      </c>
      <c r="J51" s="11"/>
    </row>
    <row r="52" customFormat="false" ht="15" hidden="false" customHeight="false" outlineLevel="0" collapsed="false">
      <c r="A52" s="7" t="str">
        <f aca="false">B52&amp;"-"&amp;TEXT(D52,"00")</f>
        <v>MP-08</v>
      </c>
      <c r="B52" s="8" t="s">
        <v>48</v>
      </c>
      <c r="C52" s="8" t="s">
        <v>49</v>
      </c>
      <c r="D52" s="8" t="n">
        <v>8</v>
      </c>
      <c r="E52" s="9" t="n">
        <v>-3.699213</v>
      </c>
      <c r="F52" s="9" t="n">
        <v>-42.962335</v>
      </c>
      <c r="G52" s="10" t="n">
        <v>726319.47</v>
      </c>
      <c r="H52" s="10" t="n">
        <v>9590860.34</v>
      </c>
      <c r="I52" s="8" t="s">
        <v>43</v>
      </c>
      <c r="J52" s="11"/>
    </row>
    <row r="53" customFormat="false" ht="15" hidden="false" customHeight="false" outlineLevel="0" collapsed="false">
      <c r="A53" s="7" t="str">
        <f aca="false">B53&amp;"-"&amp;TEXT(D53,"00")</f>
        <v>MP-09</v>
      </c>
      <c r="B53" s="8" t="s">
        <v>48</v>
      </c>
      <c r="C53" s="8" t="s">
        <v>49</v>
      </c>
      <c r="D53" s="8" t="n">
        <v>9</v>
      </c>
      <c r="E53" s="9" t="n">
        <v>-3.698291</v>
      </c>
      <c r="F53" s="9" t="n">
        <v>-42.961473</v>
      </c>
      <c r="G53" s="10" t="n">
        <v>726415.5</v>
      </c>
      <c r="H53" s="10" t="n">
        <v>9590962.15</v>
      </c>
      <c r="I53" s="8" t="s">
        <v>43</v>
      </c>
      <c r="J53" s="11"/>
    </row>
    <row r="54" customFormat="false" ht="15" hidden="false" customHeight="false" outlineLevel="0" collapsed="false">
      <c r="A54" s="7" t="str">
        <f aca="false">B54&amp;"-"&amp;TEXT(D54,"00")</f>
        <v>MP-10</v>
      </c>
      <c r="B54" s="8" t="s">
        <v>48</v>
      </c>
      <c r="C54" s="8" t="s">
        <v>49</v>
      </c>
      <c r="D54" s="8" t="n">
        <v>10</v>
      </c>
      <c r="E54" s="9" t="n">
        <v>-3.698318</v>
      </c>
      <c r="F54" s="9" t="n">
        <v>-42.964138</v>
      </c>
      <c r="G54" s="10" t="n">
        <v>726119.3</v>
      </c>
      <c r="H54" s="10" t="n">
        <v>9590959.83</v>
      </c>
      <c r="I54" s="8" t="s">
        <v>43</v>
      </c>
      <c r="J54" s="11"/>
    </row>
    <row r="55" customFormat="false" ht="15" hidden="false" customHeight="false" outlineLevel="0" collapsed="false">
      <c r="A55" s="7" t="str">
        <f aca="false">B55&amp;"-"&amp;TEXT(D55,"00")</f>
        <v>MP-11</v>
      </c>
      <c r="B55" s="8" t="s">
        <v>48</v>
      </c>
      <c r="C55" s="8" t="s">
        <v>49</v>
      </c>
      <c r="D55" s="8" t="n">
        <v>11</v>
      </c>
      <c r="E55" s="9" t="n">
        <v>-3.697395</v>
      </c>
      <c r="F55" s="9" t="n">
        <v>-42.963297</v>
      </c>
      <c r="G55" s="10" t="n">
        <v>726213.02</v>
      </c>
      <c r="H55" s="10" t="n">
        <v>9591061.66</v>
      </c>
      <c r="I55" s="8" t="s">
        <v>43</v>
      </c>
      <c r="J55" s="11"/>
    </row>
    <row r="56" customFormat="false" ht="15" hidden="false" customHeight="false" outlineLevel="0" collapsed="false">
      <c r="A56" s="7" t="str">
        <f aca="false">B56&amp;"-"&amp;TEXT(D56,"00")</f>
        <v>MP-12</v>
      </c>
      <c r="B56" s="8" t="s">
        <v>48</v>
      </c>
      <c r="C56" s="8" t="s">
        <v>49</v>
      </c>
      <c r="D56" s="8" t="n">
        <v>12</v>
      </c>
      <c r="E56" s="9" t="n">
        <v>-3.696441</v>
      </c>
      <c r="F56" s="9" t="n">
        <v>-42.962331</v>
      </c>
      <c r="G56" s="10" t="n">
        <v>726320.63</v>
      </c>
      <c r="H56" s="10" t="n">
        <v>9591166.95</v>
      </c>
      <c r="I56" s="8" t="s">
        <v>43</v>
      </c>
      <c r="J56" s="11"/>
    </row>
    <row r="57" customFormat="false" ht="15" hidden="false" customHeight="false" outlineLevel="0" collapsed="false">
      <c r="A57" s="7" t="str">
        <f aca="false">B57&amp;"-"&amp;TEXT(D57,"00")</f>
        <v>MP-13</v>
      </c>
      <c r="B57" s="8" t="s">
        <v>48</v>
      </c>
      <c r="C57" s="8" t="s">
        <v>49</v>
      </c>
      <c r="D57" s="8" t="n">
        <v>13</v>
      </c>
      <c r="E57" s="9" t="n">
        <v>-3.696464</v>
      </c>
      <c r="F57" s="9" t="n">
        <v>-42.963195</v>
      </c>
      <c r="G57" s="10" t="n">
        <v>726224.59</v>
      </c>
      <c r="H57" s="10" t="n">
        <v>9591164.63</v>
      </c>
      <c r="I57" s="8" t="s">
        <v>43</v>
      </c>
      <c r="J57" s="11"/>
    </row>
    <row r="58" customFormat="false" ht="15" hidden="false" customHeight="false" outlineLevel="0" collapsed="false">
      <c r="A58" s="7" t="str">
        <f aca="false">B58&amp;"-"&amp;TEXT(D58,"00")</f>
        <v>MP-14</v>
      </c>
      <c r="B58" s="8" t="s">
        <v>48</v>
      </c>
      <c r="C58" s="8" t="s">
        <v>49</v>
      </c>
      <c r="D58" s="8" t="n">
        <v>14</v>
      </c>
      <c r="E58" s="9" t="n">
        <v>-3.695544</v>
      </c>
      <c r="F58" s="9" t="n">
        <v>-42.963208</v>
      </c>
      <c r="G58" s="10" t="n">
        <v>726223.43</v>
      </c>
      <c r="H58" s="10" t="n">
        <v>9591266.46</v>
      </c>
      <c r="I58" s="8" t="s">
        <v>43</v>
      </c>
      <c r="J58" s="11"/>
    </row>
    <row r="59" customFormat="false" ht="15" hidden="false" customHeight="false" outlineLevel="0" collapsed="false">
      <c r="A59" s="7" t="str">
        <f aca="false">B59&amp;"-"&amp;TEXT(D59,"00")</f>
        <v>MP-15</v>
      </c>
      <c r="B59" s="8" t="s">
        <v>48</v>
      </c>
      <c r="C59" s="8" t="s">
        <v>49</v>
      </c>
      <c r="D59" s="8" t="n">
        <v>15</v>
      </c>
      <c r="E59" s="9" t="n">
        <v>-3.69919</v>
      </c>
      <c r="F59" s="9" t="n">
        <v>-42.961408</v>
      </c>
      <c r="G59" s="10" t="n">
        <v>726422.45</v>
      </c>
      <c r="H59" s="10" t="n">
        <v>9590862.65</v>
      </c>
      <c r="I59" s="8" t="s">
        <v>43</v>
      </c>
      <c r="J59" s="11"/>
    </row>
    <row r="60" customFormat="false" ht="15" hidden="false" customHeight="false" outlineLevel="0" collapsed="false">
      <c r="A60" s="7" t="str">
        <f aca="false">B60&amp;"-"&amp;TEXT(D60,"00")</f>
        <v>MP-16</v>
      </c>
      <c r="B60" s="8" t="s">
        <v>48</v>
      </c>
      <c r="C60" s="8" t="s">
        <v>49</v>
      </c>
      <c r="D60" s="8" t="n">
        <v>16</v>
      </c>
      <c r="E60" s="9" t="n">
        <v>-3.698278</v>
      </c>
      <c r="F60" s="9" t="n">
        <v>-42.960536</v>
      </c>
      <c r="G60" s="10" t="n">
        <v>726519.64</v>
      </c>
      <c r="H60" s="10" t="n">
        <v>9590963.31</v>
      </c>
      <c r="I60" s="8" t="s">
        <v>43</v>
      </c>
      <c r="J60" s="11"/>
    </row>
    <row r="61" customFormat="false" ht="15" hidden="false" customHeight="false" outlineLevel="0" collapsed="false">
      <c r="A61" s="7" t="str">
        <f aca="false">B61&amp;"-"&amp;TEXT(D61,"00")</f>
        <v>MP-17</v>
      </c>
      <c r="B61" s="8" t="s">
        <v>48</v>
      </c>
      <c r="C61" s="8" t="s">
        <v>49</v>
      </c>
      <c r="D61" s="8" t="n">
        <v>17</v>
      </c>
      <c r="E61" s="9" t="n">
        <v>-3.695531</v>
      </c>
      <c r="F61" s="9" t="n">
        <v>-42.96239</v>
      </c>
      <c r="G61" s="10" t="n">
        <v>726314.26</v>
      </c>
      <c r="H61" s="10" t="n">
        <v>9591267.61</v>
      </c>
      <c r="I61" s="8" t="s">
        <v>43</v>
      </c>
      <c r="J61" s="11"/>
    </row>
    <row r="62" customFormat="false" ht="15" hidden="false" customHeight="false" outlineLevel="0" collapsed="false">
      <c r="A62" s="7" t="str">
        <f aca="false">B62&amp;"-"&amp;TEXT(D62,"00")</f>
        <v>MP-18</v>
      </c>
      <c r="B62" s="8" t="s">
        <v>48</v>
      </c>
      <c r="C62" s="8" t="s">
        <v>49</v>
      </c>
      <c r="D62" s="8" t="n">
        <v>18</v>
      </c>
      <c r="E62" s="9" t="n">
        <v>-3.699136</v>
      </c>
      <c r="F62" s="9" t="n">
        <v>-42.960518</v>
      </c>
      <c r="G62" s="10" t="n">
        <v>726521.37</v>
      </c>
      <c r="H62" s="10" t="n">
        <v>9590868.44</v>
      </c>
      <c r="I62" s="8" t="s">
        <v>43</v>
      </c>
      <c r="J62" s="11"/>
    </row>
    <row r="63" customFormat="false" ht="15" hidden="false" customHeight="false" outlineLevel="0" collapsed="false">
      <c r="A63" s="7" t="str">
        <f aca="false">B63&amp;"-"&amp;TEXT(D63,"00")</f>
        <v>MP-19</v>
      </c>
      <c r="B63" s="8" t="s">
        <v>48</v>
      </c>
      <c r="C63" s="8" t="s">
        <v>49</v>
      </c>
      <c r="D63" s="8" t="n">
        <v>19</v>
      </c>
      <c r="E63" s="9" t="n">
        <v>-3.700034</v>
      </c>
      <c r="F63" s="9" t="n">
        <v>-42.96415</v>
      </c>
      <c r="G63" s="10" t="n">
        <v>726117.57</v>
      </c>
      <c r="H63" s="10" t="n">
        <v>9590770.08</v>
      </c>
      <c r="I63" s="8" t="s">
        <v>43</v>
      </c>
      <c r="J63" s="11"/>
    </row>
    <row r="64" customFormat="false" ht="15" hidden="false" customHeight="false" outlineLevel="0" collapsed="false">
      <c r="A64" s="7" t="str">
        <f aca="false">B64&amp;"-"&amp;TEXT(D64,"00")</f>
        <v>MP-20</v>
      </c>
      <c r="B64" s="8" t="s">
        <v>48</v>
      </c>
      <c r="C64" s="8" t="s">
        <v>49</v>
      </c>
      <c r="D64" s="8" t="n">
        <v>20</v>
      </c>
      <c r="E64" s="9" t="n">
        <v>-3.696481</v>
      </c>
      <c r="F64" s="9" t="n">
        <v>-42.961456</v>
      </c>
      <c r="G64" s="10" t="n">
        <v>726417.81</v>
      </c>
      <c r="H64" s="10" t="n">
        <v>9591162.32</v>
      </c>
      <c r="I64" s="8" t="s">
        <v>43</v>
      </c>
      <c r="J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1" min="9" style="0" width="11"/>
    <col collapsed="false" customWidth="true" hidden="false" outlineLevel="0" max="12" min="12" style="0" width="10"/>
    <col collapsed="false" customWidth="true" hidden="false" outlineLevel="0" max="14" min="13" style="0" width="11"/>
    <col collapsed="false" customWidth="true" hidden="false" outlineLevel="0" max="16" min="15" style="0" width="10"/>
    <col collapsed="false" customWidth="true" hidden="false" outlineLevel="0" max="17" min="17" style="0" width="40"/>
  </cols>
  <sheetData>
    <row r="1" customFormat="false" ht="25.5" hidden="false" customHeight="true" outlineLevel="0" collapsed="false">
      <c r="B1" s="1" t="s">
        <v>50</v>
      </c>
    </row>
    <row r="2" customFormat="false" ht="15" hidden="false" customHeight="true" outlineLevel="0" collapsed="false">
      <c r="B2" s="2" t="s">
        <v>51</v>
      </c>
    </row>
    <row r="4" customFormat="false" ht="42" hidden="false" customHeight="true" outlineLevel="0" collapsed="false">
      <c r="A4" s="6" t="s">
        <v>52</v>
      </c>
      <c r="B4" s="6" t="s">
        <v>53</v>
      </c>
      <c r="C4" s="6" t="s">
        <v>54</v>
      </c>
      <c r="D4" s="6" t="s">
        <v>32</v>
      </c>
      <c r="E4" s="6" t="s">
        <v>34</v>
      </c>
      <c r="F4" s="6" t="s">
        <v>55</v>
      </c>
      <c r="G4" s="6" t="s">
        <v>56</v>
      </c>
      <c r="H4" s="6" t="s">
        <v>57</v>
      </c>
      <c r="I4" s="6" t="s">
        <v>58</v>
      </c>
      <c r="J4" s="6" t="s">
        <v>59</v>
      </c>
      <c r="K4" s="6" t="s">
        <v>60</v>
      </c>
      <c r="L4" s="6" t="s">
        <v>61</v>
      </c>
      <c r="M4" s="6" t="s">
        <v>62</v>
      </c>
      <c r="N4" s="6" t="s">
        <v>63</v>
      </c>
      <c r="O4" s="6" t="s">
        <v>64</v>
      </c>
      <c r="P4" s="6" t="s">
        <v>65</v>
      </c>
      <c r="Q4" s="6" t="s">
        <v>66</v>
      </c>
    </row>
    <row r="5" customFormat="false" ht="15" hidden="false" customHeight="false" outlineLevel="0" collapsed="false">
      <c r="A5" s="7" t="str">
        <f aca="false">D5&amp;"-"&amp;TEXT(E5,"00")&amp;"-"&amp;H5&amp;"-"&amp;B5</f>
        <v>NF-01-0–100-dry</v>
      </c>
      <c r="B5" s="8" t="s">
        <v>67</v>
      </c>
      <c r="C5" s="8" t="s">
        <v>68</v>
      </c>
      <c r="D5" s="8" t="s">
        <v>41</v>
      </c>
      <c r="E5" s="8" t="n">
        <v>1</v>
      </c>
      <c r="F5" s="8" t="n">
        <v>0</v>
      </c>
      <c r="G5" s="8" t="n">
        <v>100</v>
      </c>
      <c r="H5" s="7" t="str">
        <f aca="false">F5&amp;"–"&amp;G5</f>
        <v>0–100</v>
      </c>
      <c r="I5" s="12" t="n">
        <v>20.104</v>
      </c>
      <c r="J5" s="12" t="n">
        <v>0.266</v>
      </c>
      <c r="K5" s="13" t="n">
        <f aca="false">I5-J5</f>
        <v>19.838</v>
      </c>
      <c r="L5" s="14" t="n">
        <f aca="false">IF(I5=0,"",100*J5/I5)</f>
        <v>1.32311977715877</v>
      </c>
      <c r="M5" s="12" t="n">
        <v>21.091</v>
      </c>
      <c r="N5" s="12" t="n">
        <v>0.28</v>
      </c>
      <c r="O5" s="15" t="n">
        <v>0.9532</v>
      </c>
      <c r="P5" s="15" t="n">
        <v>0.9494</v>
      </c>
      <c r="Q5" s="11"/>
    </row>
    <row r="6" customFormat="false" ht="15" hidden="false" customHeight="false" outlineLevel="0" collapsed="false">
      <c r="A6" s="7" t="str">
        <f aca="false">D6&amp;"-"&amp;TEXT(E6,"00")&amp;"-"&amp;H6&amp;"-"&amp;B6</f>
        <v>NF-01-100–200-dry</v>
      </c>
      <c r="B6" s="8" t="s">
        <v>67</v>
      </c>
      <c r="C6" s="8" t="s">
        <v>68</v>
      </c>
      <c r="D6" s="8" t="s">
        <v>41</v>
      </c>
      <c r="E6" s="8" t="n">
        <v>1</v>
      </c>
      <c r="F6" s="8" t="n">
        <v>100</v>
      </c>
      <c r="G6" s="8" t="n">
        <v>200</v>
      </c>
      <c r="H6" s="7" t="str">
        <f aca="false">F6&amp;"–"&amp;G6</f>
        <v>100–200</v>
      </c>
      <c r="I6" s="12" t="n">
        <v>16.688</v>
      </c>
      <c r="J6" s="12" t="n">
        <v>0.205</v>
      </c>
      <c r="K6" s="13" t="n">
        <f aca="false">I6-J6</f>
        <v>16.483</v>
      </c>
      <c r="L6" s="14" t="n">
        <f aca="false">IF(I6=0,"",100*J6/I6)</f>
        <v>1.2284276126558</v>
      </c>
      <c r="M6" s="12" t="n">
        <v>17.717</v>
      </c>
      <c r="N6" s="12" t="n">
        <v>0.202</v>
      </c>
      <c r="O6" s="15" t="n">
        <v>0.9419</v>
      </c>
      <c r="P6" s="15" t="n">
        <v>1.0181</v>
      </c>
      <c r="Q6" s="11"/>
    </row>
    <row r="7" customFormat="false" ht="15" hidden="false" customHeight="false" outlineLevel="0" collapsed="false">
      <c r="A7" s="7" t="str">
        <f aca="false">D7&amp;"-"&amp;TEXT(E7,"00")&amp;"-"&amp;H7&amp;"-"&amp;B7</f>
        <v>NF-01-200–300-dry</v>
      </c>
      <c r="B7" s="8" t="s">
        <v>67</v>
      </c>
      <c r="C7" s="8" t="s">
        <v>68</v>
      </c>
      <c r="D7" s="8" t="s">
        <v>41</v>
      </c>
      <c r="E7" s="8" t="n">
        <v>1</v>
      </c>
      <c r="F7" s="8" t="n">
        <v>200</v>
      </c>
      <c r="G7" s="8" t="n">
        <v>300</v>
      </c>
      <c r="H7" s="7" t="str">
        <f aca="false">F7&amp;"–"&amp;G7</f>
        <v>200–300</v>
      </c>
      <c r="I7" s="12" t="n">
        <v>12.123</v>
      </c>
      <c r="J7" s="12" t="n">
        <v>0.059</v>
      </c>
      <c r="K7" s="13" t="n">
        <f aca="false">I7-J7</f>
        <v>12.064</v>
      </c>
      <c r="L7" s="14" t="n">
        <f aca="false">IF(I7=0,"",100*J7/I7)</f>
        <v>0.486678214963293</v>
      </c>
      <c r="M7" s="12" t="n">
        <v>12.719</v>
      </c>
      <c r="N7" s="12" t="n">
        <v>0.062</v>
      </c>
      <c r="O7" s="15" t="n">
        <v>0.9532</v>
      </c>
      <c r="P7" s="15" t="n">
        <v>0.9475</v>
      </c>
      <c r="Q7" s="11"/>
    </row>
    <row r="8" customFormat="false" ht="15" hidden="false" customHeight="false" outlineLevel="0" collapsed="false">
      <c r="A8" s="7" t="str">
        <f aca="false">D8&amp;"-"&amp;TEXT(E8,"00")&amp;"-"&amp;H8&amp;"-"&amp;B8</f>
        <v>NF-02-0–100-dry</v>
      </c>
      <c r="B8" s="8" t="s">
        <v>67</v>
      </c>
      <c r="C8" s="8" t="s">
        <v>68</v>
      </c>
      <c r="D8" s="8" t="s">
        <v>41</v>
      </c>
      <c r="E8" s="8" t="n">
        <v>2</v>
      </c>
      <c r="F8" s="8" t="n">
        <v>0</v>
      </c>
      <c r="G8" s="8" t="n">
        <v>100</v>
      </c>
      <c r="H8" s="7" t="str">
        <f aca="false">F8&amp;"–"&amp;G8</f>
        <v>0–100</v>
      </c>
      <c r="I8" s="12" t="n">
        <v>13.427</v>
      </c>
      <c r="J8" s="12" t="n">
        <v>0.266</v>
      </c>
      <c r="K8" s="13" t="n">
        <f aca="false">I8-J8</f>
        <v>13.161</v>
      </c>
      <c r="L8" s="14" t="n">
        <f aca="false">IF(I8=0,"",100*J8/I8)</f>
        <v>1.98108289267893</v>
      </c>
      <c r="M8" s="12" t="n">
        <v>14.086</v>
      </c>
      <c r="N8" s="12" t="n">
        <v>0.281</v>
      </c>
      <c r="O8" s="15" t="n">
        <v>0.9532</v>
      </c>
      <c r="P8" s="15" t="n">
        <v>0.9494</v>
      </c>
      <c r="Q8" s="11"/>
    </row>
    <row r="9" customFormat="false" ht="15" hidden="false" customHeight="false" outlineLevel="0" collapsed="false">
      <c r="A9" s="7" t="str">
        <f aca="false">D9&amp;"-"&amp;TEXT(E9,"00")&amp;"-"&amp;H9&amp;"-"&amp;B9</f>
        <v>NF-02-100–200-dry</v>
      </c>
      <c r="B9" s="8" t="s">
        <v>67</v>
      </c>
      <c r="C9" s="8" t="s">
        <v>68</v>
      </c>
      <c r="D9" s="8" t="s">
        <v>41</v>
      </c>
      <c r="E9" s="8" t="n">
        <v>2</v>
      </c>
      <c r="F9" s="8" t="n">
        <v>100</v>
      </c>
      <c r="G9" s="8" t="n">
        <v>200</v>
      </c>
      <c r="H9" s="7" t="str">
        <f aca="false">F9&amp;"–"&amp;G9</f>
        <v>100–200</v>
      </c>
      <c r="I9" s="12" t="n">
        <v>13.127</v>
      </c>
      <c r="J9" s="12" t="n">
        <v>0.181</v>
      </c>
      <c r="K9" s="13" t="n">
        <f aca="false">I9-J9</f>
        <v>12.946</v>
      </c>
      <c r="L9" s="14" t="n">
        <f aca="false">IF(I9=0,"",100*J9/I9)</f>
        <v>1.37883751047459</v>
      </c>
      <c r="M9" s="12" t="n">
        <v>13.936</v>
      </c>
      <c r="N9" s="12" t="n">
        <v>0.178</v>
      </c>
      <c r="O9" s="15" t="n">
        <v>0.9419</v>
      </c>
      <c r="P9" s="15" t="n">
        <v>1.0181</v>
      </c>
      <c r="Q9" s="11"/>
    </row>
    <row r="10" customFormat="false" ht="15" hidden="false" customHeight="false" outlineLevel="0" collapsed="false">
      <c r="A10" s="7" t="str">
        <f aca="false">D10&amp;"-"&amp;TEXT(E10,"00")&amp;"-"&amp;H10&amp;"-"&amp;B10</f>
        <v>NF-02-200–300-dry</v>
      </c>
      <c r="B10" s="8" t="s">
        <v>67</v>
      </c>
      <c r="C10" s="8" t="s">
        <v>68</v>
      </c>
      <c r="D10" s="8" t="s">
        <v>41</v>
      </c>
      <c r="E10" s="8" t="n">
        <v>2</v>
      </c>
      <c r="F10" s="8" t="n">
        <v>200</v>
      </c>
      <c r="G10" s="8" t="n">
        <v>300</v>
      </c>
      <c r="H10" s="7" t="str">
        <f aca="false">F10&amp;"–"&amp;G10</f>
        <v>200–300</v>
      </c>
      <c r="I10" s="12" t="n">
        <v>10.608</v>
      </c>
      <c r="J10" s="12" t="n">
        <v>0.381</v>
      </c>
      <c r="K10" s="13" t="n">
        <f aca="false">I10-J10</f>
        <v>10.227</v>
      </c>
      <c r="L10" s="14" t="n">
        <f aca="false">IF(I10=0,"",100*J10/I10)</f>
        <v>3.59162895927602</v>
      </c>
      <c r="M10" s="12" t="n">
        <v>11.129</v>
      </c>
      <c r="N10" s="12" t="n">
        <v>0.402</v>
      </c>
      <c r="O10" s="15" t="n">
        <v>0.9532</v>
      </c>
      <c r="P10" s="15" t="n">
        <v>0.9475</v>
      </c>
      <c r="Q10" s="11"/>
    </row>
    <row r="11" customFormat="false" ht="15" hidden="false" customHeight="false" outlineLevel="0" collapsed="false">
      <c r="A11" s="7" t="str">
        <f aca="false">D11&amp;"-"&amp;TEXT(E11,"00")&amp;"-"&amp;H11&amp;"-"&amp;B11</f>
        <v>NF-03-0–100-dry</v>
      </c>
      <c r="B11" s="8" t="s">
        <v>67</v>
      </c>
      <c r="C11" s="8" t="s">
        <v>68</v>
      </c>
      <c r="D11" s="8" t="s">
        <v>41</v>
      </c>
      <c r="E11" s="8" t="n">
        <v>3</v>
      </c>
      <c r="F11" s="8" t="n">
        <v>0</v>
      </c>
      <c r="G11" s="8" t="n">
        <v>100</v>
      </c>
      <c r="H11" s="7" t="str">
        <f aca="false">F11&amp;"–"&amp;G11</f>
        <v>0–100</v>
      </c>
      <c r="I11" s="12" t="n">
        <v>12.75</v>
      </c>
      <c r="J11" s="12" t="n">
        <v>0.146</v>
      </c>
      <c r="K11" s="13" t="n">
        <f aca="false">I11-J11</f>
        <v>12.604</v>
      </c>
      <c r="L11" s="14" t="n">
        <f aca="false">IF(I11=0,"",100*J11/I11)</f>
        <v>1.14509803921569</v>
      </c>
      <c r="M11" s="12" t="n">
        <v>13.376</v>
      </c>
      <c r="N11" s="12" t="n">
        <v>0.154</v>
      </c>
      <c r="O11" s="15" t="n">
        <v>0.9532</v>
      </c>
      <c r="P11" s="15" t="n">
        <v>0.9494</v>
      </c>
      <c r="Q11" s="11"/>
    </row>
    <row r="12" customFormat="false" ht="15" hidden="false" customHeight="false" outlineLevel="0" collapsed="false">
      <c r="A12" s="7" t="str">
        <f aca="false">D12&amp;"-"&amp;TEXT(E12,"00")&amp;"-"&amp;H12&amp;"-"&amp;B12</f>
        <v>NF-03-100–200-dry</v>
      </c>
      <c r="B12" s="8" t="s">
        <v>67</v>
      </c>
      <c r="C12" s="8" t="s">
        <v>68</v>
      </c>
      <c r="D12" s="8" t="s">
        <v>41</v>
      </c>
      <c r="E12" s="8" t="n">
        <v>3</v>
      </c>
      <c r="F12" s="8" t="n">
        <v>100</v>
      </c>
      <c r="G12" s="8" t="n">
        <v>200</v>
      </c>
      <c r="H12" s="7" t="str">
        <f aca="false">F12&amp;"–"&amp;G12</f>
        <v>100–200</v>
      </c>
      <c r="I12" s="12" t="n">
        <v>12.726</v>
      </c>
      <c r="J12" s="12" t="n">
        <v>0.211</v>
      </c>
      <c r="K12" s="13" t="n">
        <f aca="false">I12-J12</f>
        <v>12.515</v>
      </c>
      <c r="L12" s="14" t="n">
        <f aca="false">IF(I12=0,"",100*J12/I12)</f>
        <v>1.65802294515166</v>
      </c>
      <c r="M12" s="12" t="n">
        <v>13.51</v>
      </c>
      <c r="N12" s="12" t="n">
        <v>0.207</v>
      </c>
      <c r="O12" s="15" t="n">
        <v>0.9419</v>
      </c>
      <c r="P12" s="15" t="n">
        <v>1.0181</v>
      </c>
      <c r="Q12" s="11"/>
    </row>
    <row r="13" customFormat="false" ht="15" hidden="false" customHeight="false" outlineLevel="0" collapsed="false">
      <c r="A13" s="7" t="str">
        <f aca="false">D13&amp;"-"&amp;TEXT(E13,"00")&amp;"-"&amp;H13&amp;"-"&amp;B13</f>
        <v>NF-03-200–300-dry</v>
      </c>
      <c r="B13" s="8" t="s">
        <v>67</v>
      </c>
      <c r="C13" s="8" t="s">
        <v>68</v>
      </c>
      <c r="D13" s="8" t="s">
        <v>41</v>
      </c>
      <c r="E13" s="8" t="n">
        <v>3</v>
      </c>
      <c r="F13" s="8" t="n">
        <v>200</v>
      </c>
      <c r="G13" s="8" t="n">
        <v>300</v>
      </c>
      <c r="H13" s="7" t="str">
        <f aca="false">F13&amp;"–"&amp;G13</f>
        <v>200–300</v>
      </c>
      <c r="I13" s="12" t="n">
        <v>8.343</v>
      </c>
      <c r="J13" s="12" t="n">
        <v>0.383</v>
      </c>
      <c r="K13" s="13" t="n">
        <f aca="false">I13-J13</f>
        <v>7.96</v>
      </c>
      <c r="L13" s="14" t="n">
        <f aca="false">IF(I13=0,"",100*J13/I13)</f>
        <v>4.59067481721203</v>
      </c>
      <c r="M13" s="12" t="n">
        <v>8.753</v>
      </c>
      <c r="N13" s="12" t="n">
        <v>0.404</v>
      </c>
      <c r="O13" s="15" t="n">
        <v>0.9532</v>
      </c>
      <c r="P13" s="15" t="n">
        <v>0.9475</v>
      </c>
      <c r="Q13" s="11"/>
    </row>
    <row r="14" customFormat="false" ht="15" hidden="false" customHeight="false" outlineLevel="0" collapsed="false">
      <c r="A14" s="7" t="str">
        <f aca="false">D14&amp;"-"&amp;TEXT(E14,"00")&amp;"-"&amp;H14&amp;"-"&amp;B14</f>
        <v>NF-04-0–100-dry</v>
      </c>
      <c r="B14" s="8" t="s">
        <v>67</v>
      </c>
      <c r="C14" s="8" t="s">
        <v>68</v>
      </c>
      <c r="D14" s="8" t="s">
        <v>41</v>
      </c>
      <c r="E14" s="8" t="n">
        <v>4</v>
      </c>
      <c r="F14" s="8" t="n">
        <v>0</v>
      </c>
      <c r="G14" s="8" t="n">
        <v>100</v>
      </c>
      <c r="H14" s="7" t="str">
        <f aca="false">F14&amp;"–"&amp;G14</f>
        <v>0–100</v>
      </c>
      <c r="I14" s="12" t="n">
        <v>9.61</v>
      </c>
      <c r="J14" s="12" t="n">
        <v>0.208</v>
      </c>
      <c r="K14" s="13" t="n">
        <f aca="false">I14-J14</f>
        <v>9.402</v>
      </c>
      <c r="L14" s="14" t="n">
        <f aca="false">IF(I14=0,"",100*J14/I14)</f>
        <v>2.16441207075963</v>
      </c>
      <c r="M14" s="12" t="n">
        <v>10.082</v>
      </c>
      <c r="N14" s="12" t="n">
        <v>0.219</v>
      </c>
      <c r="O14" s="15" t="n">
        <v>0.9532</v>
      </c>
      <c r="P14" s="15" t="n">
        <v>0.9494</v>
      </c>
      <c r="Q14" s="11"/>
    </row>
    <row r="15" customFormat="false" ht="15" hidden="false" customHeight="false" outlineLevel="0" collapsed="false">
      <c r="A15" s="7" t="str">
        <f aca="false">D15&amp;"-"&amp;TEXT(E15,"00")&amp;"-"&amp;H15&amp;"-"&amp;B15</f>
        <v>NF-04-100–200-dry</v>
      </c>
      <c r="B15" s="8" t="s">
        <v>67</v>
      </c>
      <c r="C15" s="8" t="s">
        <v>68</v>
      </c>
      <c r="D15" s="8" t="s">
        <v>41</v>
      </c>
      <c r="E15" s="8" t="n">
        <v>4</v>
      </c>
      <c r="F15" s="8" t="n">
        <v>100</v>
      </c>
      <c r="G15" s="8" t="n">
        <v>200</v>
      </c>
      <c r="H15" s="7" t="str">
        <f aca="false">F15&amp;"–"&amp;G15</f>
        <v>100–200</v>
      </c>
      <c r="I15" s="12" t="n">
        <v>13.013</v>
      </c>
      <c r="J15" s="12" t="n">
        <v>0.269</v>
      </c>
      <c r="K15" s="13" t="n">
        <f aca="false">I15-J15</f>
        <v>12.744</v>
      </c>
      <c r="L15" s="14" t="n">
        <f aca="false">IF(I15=0,"",100*J15/I15)</f>
        <v>2.06716360562514</v>
      </c>
      <c r="M15" s="12" t="n">
        <v>13.815</v>
      </c>
      <c r="N15" s="12" t="n">
        <v>0.264</v>
      </c>
      <c r="O15" s="15" t="n">
        <v>0.9419</v>
      </c>
      <c r="P15" s="15" t="n">
        <v>1.0181</v>
      </c>
      <c r="Q15" s="11"/>
    </row>
    <row r="16" customFormat="false" ht="15" hidden="false" customHeight="false" outlineLevel="0" collapsed="false">
      <c r="A16" s="7" t="str">
        <f aca="false">D16&amp;"-"&amp;TEXT(E16,"00")&amp;"-"&amp;H16&amp;"-"&amp;B16</f>
        <v>NF-04-200–300-dry</v>
      </c>
      <c r="B16" s="8" t="s">
        <v>67</v>
      </c>
      <c r="C16" s="8" t="s">
        <v>68</v>
      </c>
      <c r="D16" s="8" t="s">
        <v>41</v>
      </c>
      <c r="E16" s="8" t="n">
        <v>4</v>
      </c>
      <c r="F16" s="8" t="n">
        <v>200</v>
      </c>
      <c r="G16" s="8" t="n">
        <v>300</v>
      </c>
      <c r="H16" s="7" t="str">
        <f aca="false">F16&amp;"–"&amp;G16</f>
        <v>200–300</v>
      </c>
      <c r="I16" s="12" t="n">
        <v>8.727</v>
      </c>
      <c r="J16" s="12" t="n">
        <v>0.325</v>
      </c>
      <c r="K16" s="13" t="n">
        <f aca="false">I16-J16</f>
        <v>8.402</v>
      </c>
      <c r="L16" s="14" t="n">
        <f aca="false">IF(I16=0,"",100*J16/I16)</f>
        <v>3.72407471066804</v>
      </c>
      <c r="M16" s="12" t="n">
        <v>9.156</v>
      </c>
      <c r="N16" s="12" t="n">
        <v>0.343</v>
      </c>
      <c r="O16" s="15" t="n">
        <v>0.9532</v>
      </c>
      <c r="P16" s="15" t="n">
        <v>0.9475</v>
      </c>
      <c r="Q16" s="11"/>
    </row>
    <row r="17" customFormat="false" ht="15" hidden="false" customHeight="false" outlineLevel="0" collapsed="false">
      <c r="A17" s="7" t="str">
        <f aca="false">D17&amp;"-"&amp;TEXT(E17,"00")&amp;"-"&amp;H17&amp;"-"&amp;B17</f>
        <v>NF-05-0–100-dry</v>
      </c>
      <c r="B17" s="8" t="s">
        <v>67</v>
      </c>
      <c r="C17" s="8" t="s">
        <v>68</v>
      </c>
      <c r="D17" s="8" t="s">
        <v>41</v>
      </c>
      <c r="E17" s="8" t="n">
        <v>5</v>
      </c>
      <c r="F17" s="8" t="n">
        <v>0</v>
      </c>
      <c r="G17" s="8" t="n">
        <v>100</v>
      </c>
      <c r="H17" s="7" t="str">
        <f aca="false">F17&amp;"–"&amp;G17</f>
        <v>0–100</v>
      </c>
      <c r="I17" s="12" t="n">
        <v>10.544</v>
      </c>
      <c r="J17" s="12" t="n">
        <v>0.03</v>
      </c>
      <c r="K17" s="13" t="n">
        <f aca="false">I17-J17</f>
        <v>10.514</v>
      </c>
      <c r="L17" s="14" t="n">
        <f aca="false">IF(I17=0,"",100*J17/I17)</f>
        <v>0.284522003034901</v>
      </c>
      <c r="M17" s="12" t="n">
        <v>11.062</v>
      </c>
      <c r="N17" s="12" t="n">
        <v>0.031</v>
      </c>
      <c r="O17" s="15" t="n">
        <v>0.9532</v>
      </c>
      <c r="P17" s="15" t="n">
        <v>0.9494</v>
      </c>
      <c r="Q17" s="11"/>
    </row>
    <row r="18" customFormat="false" ht="15" hidden="false" customHeight="false" outlineLevel="0" collapsed="false">
      <c r="A18" s="7" t="str">
        <f aca="false">D18&amp;"-"&amp;TEXT(E18,"00")&amp;"-"&amp;H18&amp;"-"&amp;B18</f>
        <v>NF-05-100–200-dry</v>
      </c>
      <c r="B18" s="8" t="s">
        <v>67</v>
      </c>
      <c r="C18" s="8" t="s">
        <v>68</v>
      </c>
      <c r="D18" s="8" t="s">
        <v>41</v>
      </c>
      <c r="E18" s="8" t="n">
        <v>5</v>
      </c>
      <c r="F18" s="8" t="n">
        <v>100</v>
      </c>
      <c r="G18" s="8" t="n">
        <v>200</v>
      </c>
      <c r="H18" s="7" t="str">
        <f aca="false">F18&amp;"–"&amp;G18</f>
        <v>100–200</v>
      </c>
      <c r="I18" s="12" t="n">
        <v>9.145</v>
      </c>
      <c r="J18" s="12" t="n">
        <v>0.241</v>
      </c>
      <c r="K18" s="13" t="n">
        <f aca="false">I18-J18</f>
        <v>8.904</v>
      </c>
      <c r="L18" s="14" t="n">
        <f aca="false">IF(I18=0,"",100*J18/I18)</f>
        <v>2.63531984691088</v>
      </c>
      <c r="M18" s="12" t="n">
        <v>9.709</v>
      </c>
      <c r="N18" s="12" t="n">
        <v>0.237</v>
      </c>
      <c r="O18" s="15" t="n">
        <v>0.9419</v>
      </c>
      <c r="P18" s="15" t="n">
        <v>1.0181</v>
      </c>
      <c r="Q18" s="11"/>
    </row>
    <row r="19" customFormat="false" ht="15" hidden="false" customHeight="false" outlineLevel="0" collapsed="false">
      <c r="A19" s="7" t="str">
        <f aca="false">D19&amp;"-"&amp;TEXT(E19,"00")&amp;"-"&amp;H19&amp;"-"&amp;B19</f>
        <v>NF-05-200–300-dry</v>
      </c>
      <c r="B19" s="8" t="s">
        <v>67</v>
      </c>
      <c r="C19" s="8" t="s">
        <v>68</v>
      </c>
      <c r="D19" s="8" t="s">
        <v>41</v>
      </c>
      <c r="E19" s="8" t="n">
        <v>5</v>
      </c>
      <c r="F19" s="8" t="n">
        <v>200</v>
      </c>
      <c r="G19" s="8" t="n">
        <v>300</v>
      </c>
      <c r="H19" s="7" t="str">
        <f aca="false">F19&amp;"–"&amp;G19</f>
        <v>200–300</v>
      </c>
      <c r="I19" s="12" t="n">
        <v>6.621</v>
      </c>
      <c r="J19" s="12" t="n">
        <v>0.326</v>
      </c>
      <c r="K19" s="13" t="n">
        <f aca="false">I19-J19</f>
        <v>6.295</v>
      </c>
      <c r="L19" s="14" t="n">
        <f aca="false">IF(I19=0,"",100*J19/I19)</f>
        <v>4.9237275336052</v>
      </c>
      <c r="M19" s="12" t="n">
        <v>6.946</v>
      </c>
      <c r="N19" s="12" t="n">
        <v>0.344</v>
      </c>
      <c r="O19" s="15" t="n">
        <v>0.9532</v>
      </c>
      <c r="P19" s="15" t="n">
        <v>0.9475</v>
      </c>
      <c r="Q19" s="11"/>
    </row>
    <row r="20" customFormat="false" ht="15" hidden="false" customHeight="false" outlineLevel="0" collapsed="false">
      <c r="A20" s="7" t="str">
        <f aca="false">D20&amp;"-"&amp;TEXT(E20,"00")&amp;"-"&amp;H20&amp;"-"&amp;B20</f>
        <v>NF-06-0–100-dry</v>
      </c>
      <c r="B20" s="8" t="s">
        <v>67</v>
      </c>
      <c r="C20" s="8" t="s">
        <v>68</v>
      </c>
      <c r="D20" s="8" t="s">
        <v>41</v>
      </c>
      <c r="E20" s="8" t="n">
        <v>6</v>
      </c>
      <c r="F20" s="8" t="n">
        <v>0</v>
      </c>
      <c r="G20" s="8" t="n">
        <v>100</v>
      </c>
      <c r="H20" s="7" t="str">
        <f aca="false">F20&amp;"–"&amp;G20</f>
        <v>0–100</v>
      </c>
      <c r="I20" s="12" t="n">
        <v>10.752</v>
      </c>
      <c r="J20" s="12" t="n">
        <v>0.089</v>
      </c>
      <c r="K20" s="13" t="n">
        <f aca="false">I20-J20</f>
        <v>10.663</v>
      </c>
      <c r="L20" s="14" t="n">
        <f aca="false">IF(I20=0,"",100*J20/I20)</f>
        <v>0.827752976190476</v>
      </c>
      <c r="M20" s="12" t="n">
        <v>11.28</v>
      </c>
      <c r="N20" s="12" t="n">
        <v>0.094</v>
      </c>
      <c r="O20" s="15" t="n">
        <v>0.9532</v>
      </c>
      <c r="P20" s="15" t="n">
        <v>0.9494</v>
      </c>
      <c r="Q20" s="11"/>
    </row>
    <row r="21" customFormat="false" ht="15" hidden="false" customHeight="false" outlineLevel="0" collapsed="false">
      <c r="A21" s="7" t="str">
        <f aca="false">D21&amp;"-"&amp;TEXT(E21,"00")&amp;"-"&amp;H21&amp;"-"&amp;B21</f>
        <v>NF-06-100–200-dry</v>
      </c>
      <c r="B21" s="8" t="s">
        <v>67</v>
      </c>
      <c r="C21" s="8" t="s">
        <v>68</v>
      </c>
      <c r="D21" s="8" t="s">
        <v>41</v>
      </c>
      <c r="E21" s="8" t="n">
        <v>6</v>
      </c>
      <c r="F21" s="8" t="n">
        <v>100</v>
      </c>
      <c r="G21" s="8" t="n">
        <v>200</v>
      </c>
      <c r="H21" s="7" t="str">
        <f aca="false">F21&amp;"–"&amp;G21</f>
        <v>100–200</v>
      </c>
      <c r="I21" s="12" t="n">
        <v>12.058</v>
      </c>
      <c r="J21" s="12" t="n">
        <v>0.146</v>
      </c>
      <c r="K21" s="13" t="n">
        <f aca="false">I21-J21</f>
        <v>11.912</v>
      </c>
      <c r="L21" s="14" t="n">
        <f aca="false">IF(I21=0,"",100*J21/I21)</f>
        <v>1.21081439708078</v>
      </c>
      <c r="M21" s="12" t="n">
        <v>12.802</v>
      </c>
      <c r="N21" s="12" t="n">
        <v>0.143</v>
      </c>
      <c r="O21" s="15" t="n">
        <v>0.9419</v>
      </c>
      <c r="P21" s="15" t="n">
        <v>1.0181</v>
      </c>
      <c r="Q21" s="11"/>
    </row>
    <row r="22" customFormat="false" ht="15" hidden="false" customHeight="false" outlineLevel="0" collapsed="false">
      <c r="A22" s="7" t="str">
        <f aca="false">D22&amp;"-"&amp;TEXT(E22,"00")&amp;"-"&amp;H22&amp;"-"&amp;B22</f>
        <v>NF-06-200–300-dry</v>
      </c>
      <c r="B22" s="8" t="s">
        <v>67</v>
      </c>
      <c r="C22" s="8" t="s">
        <v>68</v>
      </c>
      <c r="D22" s="8" t="s">
        <v>41</v>
      </c>
      <c r="E22" s="8" t="n">
        <v>6</v>
      </c>
      <c r="F22" s="8" t="n">
        <v>200</v>
      </c>
      <c r="G22" s="8" t="n">
        <v>300</v>
      </c>
      <c r="H22" s="7" t="str">
        <f aca="false">F22&amp;"–"&amp;G22</f>
        <v>200–300</v>
      </c>
      <c r="I22" s="12" t="n">
        <v>9.487</v>
      </c>
      <c r="J22" s="12" t="n">
        <v>0.265</v>
      </c>
      <c r="K22" s="13" t="n">
        <f aca="false">I22-J22</f>
        <v>9.222</v>
      </c>
      <c r="L22" s="14" t="n">
        <f aca="false">IF(I22=0,"",100*J22/I22)</f>
        <v>2.79329608938548</v>
      </c>
      <c r="M22" s="12" t="n">
        <v>9.953</v>
      </c>
      <c r="N22" s="12" t="n">
        <v>0.28</v>
      </c>
      <c r="O22" s="15" t="n">
        <v>0.9532</v>
      </c>
      <c r="P22" s="15" t="n">
        <v>0.9475</v>
      </c>
      <c r="Q22" s="11"/>
    </row>
    <row r="23" customFormat="false" ht="15" hidden="false" customHeight="false" outlineLevel="0" collapsed="false">
      <c r="A23" s="7" t="str">
        <f aca="false">D23&amp;"-"&amp;TEXT(E23,"00")&amp;"-"&amp;H23&amp;"-"&amp;B23</f>
        <v>NF-07-0–100-dry</v>
      </c>
      <c r="B23" s="8" t="s">
        <v>67</v>
      </c>
      <c r="C23" s="8" t="s">
        <v>68</v>
      </c>
      <c r="D23" s="8" t="s">
        <v>41</v>
      </c>
      <c r="E23" s="8" t="n">
        <v>7</v>
      </c>
      <c r="F23" s="8" t="n">
        <v>0</v>
      </c>
      <c r="G23" s="8" t="n">
        <v>100</v>
      </c>
      <c r="H23" s="7" t="str">
        <f aca="false">F23&amp;"–"&amp;G23</f>
        <v>0–100</v>
      </c>
      <c r="I23" s="12" t="n">
        <v>10.315</v>
      </c>
      <c r="J23" s="12" t="n">
        <v>0.089</v>
      </c>
      <c r="K23" s="13" t="n">
        <f aca="false">I23-J23</f>
        <v>10.226</v>
      </c>
      <c r="L23" s="14" t="n">
        <f aca="false">IF(I23=0,"",100*J23/I23)</f>
        <v>0.86282113427048</v>
      </c>
      <c r="M23" s="12" t="n">
        <v>10.821</v>
      </c>
      <c r="N23" s="12" t="n">
        <v>0.094</v>
      </c>
      <c r="O23" s="15" t="n">
        <v>0.9532</v>
      </c>
      <c r="P23" s="15" t="n">
        <v>0.9494</v>
      </c>
      <c r="Q23" s="11"/>
    </row>
    <row r="24" customFormat="false" ht="15" hidden="false" customHeight="false" outlineLevel="0" collapsed="false">
      <c r="A24" s="7" t="str">
        <f aca="false">D24&amp;"-"&amp;TEXT(E24,"00")&amp;"-"&amp;H24&amp;"-"&amp;B24</f>
        <v>NF-07-100–200-dry</v>
      </c>
      <c r="B24" s="8" t="s">
        <v>67</v>
      </c>
      <c r="C24" s="8" t="s">
        <v>68</v>
      </c>
      <c r="D24" s="8" t="s">
        <v>41</v>
      </c>
      <c r="E24" s="8" t="n">
        <v>7</v>
      </c>
      <c r="F24" s="8" t="n">
        <v>100</v>
      </c>
      <c r="G24" s="8" t="n">
        <v>200</v>
      </c>
      <c r="H24" s="7" t="str">
        <f aca="false">F24&amp;"–"&amp;G24</f>
        <v>100–200</v>
      </c>
      <c r="I24" s="12" t="n">
        <v>10.832</v>
      </c>
      <c r="J24" s="12" t="n">
        <v>0.213</v>
      </c>
      <c r="K24" s="13" t="n">
        <f aca="false">I24-J24</f>
        <v>10.619</v>
      </c>
      <c r="L24" s="14" t="n">
        <f aca="false">IF(I24=0,"",100*J24/I24)</f>
        <v>1.96639586410635</v>
      </c>
      <c r="M24" s="12" t="n">
        <v>11.499</v>
      </c>
      <c r="N24" s="12" t="n">
        <v>0.21</v>
      </c>
      <c r="O24" s="15" t="n">
        <v>0.9419</v>
      </c>
      <c r="P24" s="15" t="n">
        <v>1.0181</v>
      </c>
      <c r="Q24" s="11"/>
    </row>
    <row r="25" customFormat="false" ht="15" hidden="false" customHeight="false" outlineLevel="0" collapsed="false">
      <c r="A25" s="7" t="str">
        <f aca="false">D25&amp;"-"&amp;TEXT(E25,"00")&amp;"-"&amp;H25&amp;"-"&amp;B25</f>
        <v>NF-07-200–300-dry</v>
      </c>
      <c r="B25" s="8" t="s">
        <v>67</v>
      </c>
      <c r="C25" s="8" t="s">
        <v>68</v>
      </c>
      <c r="D25" s="8" t="s">
        <v>41</v>
      </c>
      <c r="E25" s="8" t="n">
        <v>7</v>
      </c>
      <c r="F25" s="8" t="n">
        <v>200</v>
      </c>
      <c r="G25" s="8" t="n">
        <v>300</v>
      </c>
      <c r="H25" s="7" t="str">
        <f aca="false">F25&amp;"–"&amp;G25</f>
        <v>200–300</v>
      </c>
      <c r="I25" s="12" t="n">
        <v>7.503</v>
      </c>
      <c r="J25" s="12" t="n">
        <v>0.177</v>
      </c>
      <c r="K25" s="13" t="n">
        <f aca="false">I25-J25</f>
        <v>7.326</v>
      </c>
      <c r="L25" s="14" t="n">
        <f aca="false">IF(I25=0,"",100*J25/I25)</f>
        <v>2.35905637744902</v>
      </c>
      <c r="M25" s="12" t="n">
        <v>7.872</v>
      </c>
      <c r="N25" s="12" t="n">
        <v>0.187</v>
      </c>
      <c r="O25" s="15" t="n">
        <v>0.9532</v>
      </c>
      <c r="P25" s="15" t="n">
        <v>0.9475</v>
      </c>
      <c r="Q25" s="11"/>
    </row>
    <row r="26" customFormat="false" ht="15" hidden="false" customHeight="false" outlineLevel="0" collapsed="false">
      <c r="A26" s="7" t="str">
        <f aca="false">D26&amp;"-"&amp;TEXT(E26,"00")&amp;"-"&amp;H26&amp;"-"&amp;B26</f>
        <v>NF-08-0–100-dry</v>
      </c>
      <c r="B26" s="8" t="s">
        <v>67</v>
      </c>
      <c r="C26" s="8" t="s">
        <v>68</v>
      </c>
      <c r="D26" s="8" t="s">
        <v>41</v>
      </c>
      <c r="E26" s="8" t="n">
        <v>8</v>
      </c>
      <c r="F26" s="8" t="n">
        <v>0</v>
      </c>
      <c r="G26" s="8" t="n">
        <v>100</v>
      </c>
      <c r="H26" s="7" t="str">
        <f aca="false">F26&amp;"–"&amp;G26</f>
        <v>0–100</v>
      </c>
      <c r="I26" s="12" t="n">
        <v>14.023</v>
      </c>
      <c r="J26" s="12" t="n">
        <v>0.089</v>
      </c>
      <c r="K26" s="13" t="n">
        <f aca="false">I26-J26</f>
        <v>13.934</v>
      </c>
      <c r="L26" s="14" t="n">
        <f aca="false">IF(I26=0,"",100*J26/I26)</f>
        <v>0.634671610924909</v>
      </c>
      <c r="M26" s="12" t="n">
        <v>14.712</v>
      </c>
      <c r="N26" s="12" t="n">
        <v>0.093</v>
      </c>
      <c r="O26" s="15" t="n">
        <v>0.9532</v>
      </c>
      <c r="P26" s="15" t="n">
        <v>0.9494</v>
      </c>
      <c r="Q26" s="11"/>
    </row>
    <row r="27" customFormat="false" ht="15" hidden="false" customHeight="false" outlineLevel="0" collapsed="false">
      <c r="A27" s="7" t="str">
        <f aca="false">D27&amp;"-"&amp;TEXT(E27,"00")&amp;"-"&amp;H27&amp;"-"&amp;B27</f>
        <v>NF-08-100–200-dry</v>
      </c>
      <c r="B27" s="8" t="s">
        <v>67</v>
      </c>
      <c r="C27" s="8" t="s">
        <v>68</v>
      </c>
      <c r="D27" s="8" t="s">
        <v>41</v>
      </c>
      <c r="E27" s="8" t="n">
        <v>8</v>
      </c>
      <c r="F27" s="8" t="n">
        <v>100</v>
      </c>
      <c r="G27" s="8" t="n">
        <v>200</v>
      </c>
      <c r="H27" s="7" t="str">
        <f aca="false">F27&amp;"–"&amp;G27</f>
        <v>100–200</v>
      </c>
      <c r="I27" s="12" t="n">
        <v>11.59</v>
      </c>
      <c r="J27" s="12" t="n">
        <v>0.176</v>
      </c>
      <c r="K27" s="13" t="n">
        <f aca="false">I27-J27</f>
        <v>11.414</v>
      </c>
      <c r="L27" s="14" t="n">
        <f aca="false">IF(I27=0,"",100*J27/I27)</f>
        <v>1.51855047454702</v>
      </c>
      <c r="M27" s="12" t="n">
        <v>12.305</v>
      </c>
      <c r="N27" s="12" t="n">
        <v>0.173</v>
      </c>
      <c r="O27" s="15" t="n">
        <v>0.9419</v>
      </c>
      <c r="P27" s="15" t="n">
        <v>1.0181</v>
      </c>
      <c r="Q27" s="11"/>
    </row>
    <row r="28" customFormat="false" ht="15" hidden="false" customHeight="false" outlineLevel="0" collapsed="false">
      <c r="A28" s="7" t="str">
        <f aca="false">D28&amp;"-"&amp;TEXT(E28,"00")&amp;"-"&amp;H28&amp;"-"&amp;B28</f>
        <v>NF-08-200–300-dry</v>
      </c>
      <c r="B28" s="8" t="s">
        <v>67</v>
      </c>
      <c r="C28" s="8" t="s">
        <v>68</v>
      </c>
      <c r="D28" s="8" t="s">
        <v>41</v>
      </c>
      <c r="E28" s="8" t="n">
        <v>8</v>
      </c>
      <c r="F28" s="8" t="n">
        <v>200</v>
      </c>
      <c r="G28" s="8" t="n">
        <v>300</v>
      </c>
      <c r="H28" s="7" t="str">
        <f aca="false">F28&amp;"–"&amp;G28</f>
        <v>200–300</v>
      </c>
      <c r="I28" s="12" t="n">
        <v>7.536</v>
      </c>
      <c r="J28" s="12" t="n">
        <v>0.624</v>
      </c>
      <c r="K28" s="13" t="n">
        <f aca="false">I28-J28</f>
        <v>6.912</v>
      </c>
      <c r="L28" s="14" t="n">
        <f aca="false">IF(I28=0,"",100*J28/I28)</f>
        <v>8.28025477707007</v>
      </c>
      <c r="M28" s="12" t="n">
        <v>7.906</v>
      </c>
      <c r="N28" s="12" t="n">
        <v>0.658</v>
      </c>
      <c r="O28" s="15" t="n">
        <v>0.9532</v>
      </c>
      <c r="P28" s="15" t="n">
        <v>0.9475</v>
      </c>
      <c r="Q28" s="11"/>
    </row>
    <row r="29" customFormat="false" ht="15" hidden="false" customHeight="false" outlineLevel="0" collapsed="false">
      <c r="A29" s="7" t="str">
        <f aca="false">D29&amp;"-"&amp;TEXT(E29,"00")&amp;"-"&amp;H29&amp;"-"&amp;B29</f>
        <v>NF-09-0–100-dry</v>
      </c>
      <c r="B29" s="8" t="s">
        <v>67</v>
      </c>
      <c r="C29" s="8" t="s">
        <v>68</v>
      </c>
      <c r="D29" s="8" t="s">
        <v>41</v>
      </c>
      <c r="E29" s="8" t="n">
        <v>9</v>
      </c>
      <c r="F29" s="8" t="n">
        <v>0</v>
      </c>
      <c r="G29" s="8" t="n">
        <v>100</v>
      </c>
      <c r="H29" s="7" t="str">
        <f aca="false">F29&amp;"–"&amp;G29</f>
        <v>0–100</v>
      </c>
      <c r="I29" s="12" t="n">
        <v>7.988</v>
      </c>
      <c r="J29" s="12" t="n">
        <v>0.237</v>
      </c>
      <c r="K29" s="13" t="n">
        <f aca="false">I29-J29</f>
        <v>7.751</v>
      </c>
      <c r="L29" s="14" t="n">
        <f aca="false">IF(I29=0,"",100*J29/I29)</f>
        <v>2.96695042563846</v>
      </c>
      <c r="M29" s="12" t="n">
        <v>8.38</v>
      </c>
      <c r="N29" s="12" t="n">
        <v>0.25</v>
      </c>
      <c r="O29" s="15" t="n">
        <v>0.9532</v>
      </c>
      <c r="P29" s="15" t="n">
        <v>0.9494</v>
      </c>
      <c r="Q29" s="11"/>
    </row>
    <row r="30" customFormat="false" ht="15" hidden="false" customHeight="false" outlineLevel="0" collapsed="false">
      <c r="A30" s="7" t="str">
        <f aca="false">D30&amp;"-"&amp;TEXT(E30,"00")&amp;"-"&amp;H30&amp;"-"&amp;B30</f>
        <v>NF-09-100–200-dry</v>
      </c>
      <c r="B30" s="8" t="s">
        <v>67</v>
      </c>
      <c r="C30" s="8" t="s">
        <v>68</v>
      </c>
      <c r="D30" s="8" t="s">
        <v>41</v>
      </c>
      <c r="E30" s="8" t="n">
        <v>9</v>
      </c>
      <c r="F30" s="8" t="n">
        <v>100</v>
      </c>
      <c r="G30" s="8" t="n">
        <v>200</v>
      </c>
      <c r="H30" s="7" t="str">
        <f aca="false">F30&amp;"–"&amp;G30</f>
        <v>100–200</v>
      </c>
      <c r="I30" s="12" t="n">
        <v>9.865</v>
      </c>
      <c r="J30" s="12" t="n">
        <v>0.122</v>
      </c>
      <c r="K30" s="13" t="n">
        <f aca="false">I30-J30</f>
        <v>9.743</v>
      </c>
      <c r="L30" s="14" t="n">
        <f aca="false">IF(I30=0,"",100*J30/I30)</f>
        <v>1.23669538773441</v>
      </c>
      <c r="M30" s="12" t="n">
        <v>10.473</v>
      </c>
      <c r="N30" s="12" t="n">
        <v>0.12</v>
      </c>
      <c r="O30" s="15" t="n">
        <v>0.9419</v>
      </c>
      <c r="P30" s="15" t="n">
        <v>1.0181</v>
      </c>
      <c r="Q30" s="11"/>
    </row>
    <row r="31" customFormat="false" ht="15" hidden="false" customHeight="false" outlineLevel="0" collapsed="false">
      <c r="A31" s="7" t="str">
        <f aca="false">D31&amp;"-"&amp;TEXT(E31,"00")&amp;"-"&amp;H31&amp;"-"&amp;B31</f>
        <v>NF-09-200–300-dry</v>
      </c>
      <c r="B31" s="8" t="s">
        <v>67</v>
      </c>
      <c r="C31" s="8" t="s">
        <v>68</v>
      </c>
      <c r="D31" s="8" t="s">
        <v>41</v>
      </c>
      <c r="E31" s="8" t="n">
        <v>9</v>
      </c>
      <c r="F31" s="8" t="n">
        <v>200</v>
      </c>
      <c r="G31" s="8" t="n">
        <v>300</v>
      </c>
      <c r="H31" s="7" t="str">
        <f aca="false">F31&amp;"–"&amp;G31</f>
        <v>200–300</v>
      </c>
      <c r="I31" s="12" t="n">
        <v>7.523</v>
      </c>
      <c r="J31" s="12" t="n">
        <v>0.356</v>
      </c>
      <c r="K31" s="13" t="n">
        <f aca="false">I31-J31</f>
        <v>7.167</v>
      </c>
      <c r="L31" s="14" t="n">
        <f aca="false">IF(I31=0,"",100*J31/I31)</f>
        <v>4.73215472550844</v>
      </c>
      <c r="M31" s="12" t="n">
        <v>7.892</v>
      </c>
      <c r="N31" s="12" t="n">
        <v>0.375</v>
      </c>
      <c r="O31" s="15" t="n">
        <v>0.9532</v>
      </c>
      <c r="P31" s="15" t="n">
        <v>0.9475</v>
      </c>
      <c r="Q31" s="11"/>
    </row>
    <row r="32" customFormat="false" ht="15" hidden="false" customHeight="false" outlineLevel="0" collapsed="false">
      <c r="A32" s="7" t="str">
        <f aca="false">D32&amp;"-"&amp;TEXT(E32,"00")&amp;"-"&amp;H32&amp;"-"&amp;B32</f>
        <v>NF-10-0–100-dry</v>
      </c>
      <c r="B32" s="8" t="s">
        <v>67</v>
      </c>
      <c r="C32" s="8" t="s">
        <v>68</v>
      </c>
      <c r="D32" s="8" t="s">
        <v>41</v>
      </c>
      <c r="E32" s="8" t="n">
        <v>10</v>
      </c>
      <c r="F32" s="8" t="n">
        <v>0</v>
      </c>
      <c r="G32" s="8" t="n">
        <v>100</v>
      </c>
      <c r="H32" s="7" t="str">
        <f aca="false">F32&amp;"–"&amp;G32</f>
        <v>0–100</v>
      </c>
      <c r="I32" s="12" t="n">
        <v>9.636</v>
      </c>
      <c r="J32" s="12" t="n">
        <v>0.149</v>
      </c>
      <c r="K32" s="13" t="n">
        <f aca="false">I32-J32</f>
        <v>9.487</v>
      </c>
      <c r="L32" s="14" t="n">
        <f aca="false">IF(I32=0,"",100*J32/I32)</f>
        <v>1.54628476546285</v>
      </c>
      <c r="M32" s="12" t="n">
        <v>10.109</v>
      </c>
      <c r="N32" s="12" t="n">
        <v>0.157</v>
      </c>
      <c r="O32" s="15" t="n">
        <v>0.9532</v>
      </c>
      <c r="P32" s="15" t="n">
        <v>0.9494</v>
      </c>
      <c r="Q32" s="11"/>
    </row>
    <row r="33" customFormat="false" ht="15" hidden="false" customHeight="false" outlineLevel="0" collapsed="false">
      <c r="A33" s="7" t="str">
        <f aca="false">D33&amp;"-"&amp;TEXT(E33,"00")&amp;"-"&amp;H33&amp;"-"&amp;B33</f>
        <v>NF-10-100–200-dry</v>
      </c>
      <c r="B33" s="8" t="s">
        <v>67</v>
      </c>
      <c r="C33" s="8" t="s">
        <v>68</v>
      </c>
      <c r="D33" s="8" t="s">
        <v>41</v>
      </c>
      <c r="E33" s="8" t="n">
        <v>10</v>
      </c>
      <c r="F33" s="8" t="n">
        <v>100</v>
      </c>
      <c r="G33" s="8" t="n">
        <v>200</v>
      </c>
      <c r="H33" s="7" t="str">
        <f aca="false">F33&amp;"–"&amp;G33</f>
        <v>100–200</v>
      </c>
      <c r="I33" s="12" t="n">
        <v>13.732</v>
      </c>
      <c r="J33" s="12" t="n">
        <v>0.09</v>
      </c>
      <c r="K33" s="13" t="n">
        <f aca="false">I33-J33</f>
        <v>13.642</v>
      </c>
      <c r="L33" s="14" t="n">
        <f aca="false">IF(I33=0,"",100*J33/I33)</f>
        <v>0.655403437226915</v>
      </c>
      <c r="M33" s="12" t="n">
        <v>14.579</v>
      </c>
      <c r="N33" s="12" t="n">
        <v>0.088</v>
      </c>
      <c r="O33" s="15" t="n">
        <v>0.9419</v>
      </c>
      <c r="P33" s="15" t="n">
        <v>1.0181</v>
      </c>
      <c r="Q33" s="11"/>
    </row>
    <row r="34" customFormat="false" ht="15" hidden="false" customHeight="false" outlineLevel="0" collapsed="false">
      <c r="A34" s="7" t="str">
        <f aca="false">D34&amp;"-"&amp;TEXT(E34,"00")&amp;"-"&amp;H34&amp;"-"&amp;B34</f>
        <v>NF-10-200–300-dry</v>
      </c>
      <c r="B34" s="8" t="s">
        <v>67</v>
      </c>
      <c r="C34" s="8" t="s">
        <v>68</v>
      </c>
      <c r="D34" s="8" t="s">
        <v>41</v>
      </c>
      <c r="E34" s="8" t="n">
        <v>10</v>
      </c>
      <c r="F34" s="8" t="n">
        <v>200</v>
      </c>
      <c r="G34" s="8" t="n">
        <v>300</v>
      </c>
      <c r="H34" s="7" t="str">
        <f aca="false">F34&amp;"–"&amp;G34</f>
        <v>200–300</v>
      </c>
      <c r="I34" s="12" t="n">
        <v>9.435</v>
      </c>
      <c r="J34" s="12" t="n">
        <v>0.412</v>
      </c>
      <c r="K34" s="13" t="n">
        <f aca="false">I34-J34</f>
        <v>9.023</v>
      </c>
      <c r="L34" s="14" t="n">
        <f aca="false">IF(I34=0,"",100*J34/I34)</f>
        <v>4.36671966083731</v>
      </c>
      <c r="M34" s="12" t="n">
        <v>9.898</v>
      </c>
      <c r="N34" s="12" t="n">
        <v>0.435</v>
      </c>
      <c r="O34" s="15" t="n">
        <v>0.9532</v>
      </c>
      <c r="P34" s="15" t="n">
        <v>0.9475</v>
      </c>
      <c r="Q34" s="11"/>
    </row>
    <row r="35" customFormat="false" ht="15" hidden="false" customHeight="false" outlineLevel="0" collapsed="false">
      <c r="A35" s="7" t="str">
        <f aca="false">D35&amp;"-"&amp;TEXT(E35,"00")&amp;"-"&amp;H35&amp;"-"&amp;B35</f>
        <v>NF-11-0–100-dry</v>
      </c>
      <c r="B35" s="8" t="s">
        <v>67</v>
      </c>
      <c r="C35" s="8" t="s">
        <v>68</v>
      </c>
      <c r="D35" s="8" t="s">
        <v>41</v>
      </c>
      <c r="E35" s="8" t="n">
        <v>11</v>
      </c>
      <c r="F35" s="8" t="n">
        <v>0</v>
      </c>
      <c r="G35" s="8" t="n">
        <v>100</v>
      </c>
      <c r="H35" s="7" t="str">
        <f aca="false">F35&amp;"–"&amp;G35</f>
        <v>0–100</v>
      </c>
      <c r="I35" s="12" t="n">
        <v>10.658</v>
      </c>
      <c r="J35" s="12" t="n">
        <v>0.202</v>
      </c>
      <c r="K35" s="13" t="n">
        <f aca="false">I35-J35</f>
        <v>10.456</v>
      </c>
      <c r="L35" s="14" t="n">
        <f aca="false">IF(I35=0,"",100*J35/I35)</f>
        <v>1.89528992306249</v>
      </c>
      <c r="M35" s="12" t="n">
        <v>11.181</v>
      </c>
      <c r="N35" s="12" t="n">
        <v>0.213</v>
      </c>
      <c r="O35" s="15" t="n">
        <v>0.9532</v>
      </c>
      <c r="P35" s="15" t="n">
        <v>0.9494</v>
      </c>
      <c r="Q35" s="11"/>
    </row>
    <row r="36" customFormat="false" ht="15" hidden="false" customHeight="false" outlineLevel="0" collapsed="false">
      <c r="A36" s="7" t="str">
        <f aca="false">D36&amp;"-"&amp;TEXT(E36,"00")&amp;"-"&amp;H36&amp;"-"&amp;B36</f>
        <v>NF-11-100–200-dry</v>
      </c>
      <c r="B36" s="8" t="s">
        <v>67</v>
      </c>
      <c r="C36" s="8" t="s">
        <v>68</v>
      </c>
      <c r="D36" s="8" t="s">
        <v>41</v>
      </c>
      <c r="E36" s="8" t="n">
        <v>11</v>
      </c>
      <c r="F36" s="8" t="n">
        <v>100</v>
      </c>
      <c r="G36" s="8" t="n">
        <v>200</v>
      </c>
      <c r="H36" s="7" t="str">
        <f aca="false">F36&amp;"–"&amp;G36</f>
        <v>100–200</v>
      </c>
      <c r="I36" s="12" t="n">
        <v>10.642</v>
      </c>
      <c r="J36" s="12" t="n">
        <v>0.274</v>
      </c>
      <c r="K36" s="13" t="n">
        <f aca="false">I36-J36</f>
        <v>10.368</v>
      </c>
      <c r="L36" s="14" t="n">
        <f aca="false">IF(I36=0,"",100*J36/I36)</f>
        <v>2.57470400300695</v>
      </c>
      <c r="M36" s="12" t="n">
        <v>11.299</v>
      </c>
      <c r="N36" s="12" t="n">
        <v>0.269</v>
      </c>
      <c r="O36" s="15" t="n">
        <v>0.9419</v>
      </c>
      <c r="P36" s="15" t="n">
        <v>1.0181</v>
      </c>
      <c r="Q36" s="11"/>
    </row>
    <row r="37" customFormat="false" ht="15" hidden="false" customHeight="false" outlineLevel="0" collapsed="false">
      <c r="A37" s="7" t="str">
        <f aca="false">D37&amp;"-"&amp;TEXT(E37,"00")&amp;"-"&amp;H37&amp;"-"&amp;B37</f>
        <v>NF-11-200–300-dry</v>
      </c>
      <c r="B37" s="8" t="s">
        <v>67</v>
      </c>
      <c r="C37" s="8" t="s">
        <v>68</v>
      </c>
      <c r="D37" s="8" t="s">
        <v>41</v>
      </c>
      <c r="E37" s="8" t="n">
        <v>11</v>
      </c>
      <c r="F37" s="8" t="n">
        <v>200</v>
      </c>
      <c r="G37" s="8" t="n">
        <v>300</v>
      </c>
      <c r="H37" s="7" t="str">
        <f aca="false">F37&amp;"–"&amp;G37</f>
        <v>200–300</v>
      </c>
      <c r="I37" s="12" t="n">
        <v>9.449</v>
      </c>
      <c r="J37" s="12" t="n">
        <v>0.381</v>
      </c>
      <c r="K37" s="13" t="n">
        <f aca="false">I37-J37</f>
        <v>9.068</v>
      </c>
      <c r="L37" s="14" t="n">
        <f aca="false">IF(I37=0,"",100*J37/I37)</f>
        <v>4.0321727166896</v>
      </c>
      <c r="M37" s="12" t="n">
        <v>9.913</v>
      </c>
      <c r="N37" s="12" t="n">
        <v>0.402</v>
      </c>
      <c r="O37" s="15" t="n">
        <v>0.9532</v>
      </c>
      <c r="P37" s="15" t="n">
        <v>0.9475</v>
      </c>
      <c r="Q37" s="11"/>
    </row>
    <row r="38" customFormat="false" ht="15" hidden="false" customHeight="false" outlineLevel="0" collapsed="false">
      <c r="A38" s="7" t="str">
        <f aca="false">D38&amp;"-"&amp;TEXT(E38,"00")&amp;"-"&amp;H38&amp;"-"&amp;B38</f>
        <v>NF-12-0–100-dry</v>
      </c>
      <c r="B38" s="8" t="s">
        <v>67</v>
      </c>
      <c r="C38" s="8" t="s">
        <v>68</v>
      </c>
      <c r="D38" s="8" t="s">
        <v>41</v>
      </c>
      <c r="E38" s="8" t="n">
        <v>12</v>
      </c>
      <c r="F38" s="8" t="n">
        <v>0</v>
      </c>
      <c r="G38" s="8" t="n">
        <v>100</v>
      </c>
      <c r="H38" s="7" t="str">
        <f aca="false">F38&amp;"–"&amp;G38</f>
        <v>0–100</v>
      </c>
      <c r="I38" s="12" t="n">
        <v>12.588</v>
      </c>
      <c r="J38" s="12" t="n">
        <v>0.267</v>
      </c>
      <c r="K38" s="13" t="n">
        <f aca="false">I38-J38</f>
        <v>12.321</v>
      </c>
      <c r="L38" s="14" t="n">
        <f aca="false">IF(I38=0,"",100*J38/I38)</f>
        <v>2.1210676835081</v>
      </c>
      <c r="M38" s="12" t="n">
        <v>13.206</v>
      </c>
      <c r="N38" s="12" t="n">
        <v>0.282</v>
      </c>
      <c r="O38" s="15" t="n">
        <v>0.9532</v>
      </c>
      <c r="P38" s="15" t="n">
        <v>0.9494</v>
      </c>
      <c r="Q38" s="11"/>
    </row>
    <row r="39" customFormat="false" ht="15" hidden="false" customHeight="false" outlineLevel="0" collapsed="false">
      <c r="A39" s="7" t="str">
        <f aca="false">D39&amp;"-"&amp;TEXT(E39,"00")&amp;"-"&amp;H39&amp;"-"&amp;B39</f>
        <v>NF-12-100–200-dry</v>
      </c>
      <c r="B39" s="8" t="s">
        <v>67</v>
      </c>
      <c r="C39" s="8" t="s">
        <v>68</v>
      </c>
      <c r="D39" s="8" t="s">
        <v>41</v>
      </c>
      <c r="E39" s="8" t="n">
        <v>12</v>
      </c>
      <c r="F39" s="8" t="n">
        <v>100</v>
      </c>
      <c r="G39" s="8" t="n">
        <v>200</v>
      </c>
      <c r="H39" s="7" t="str">
        <f aca="false">F39&amp;"–"&amp;G39</f>
        <v>100–200</v>
      </c>
      <c r="I39" s="12" t="n">
        <v>14.963</v>
      </c>
      <c r="J39" s="12" t="n">
        <v>0.177</v>
      </c>
      <c r="K39" s="13" t="n">
        <f aca="false">I39-J39</f>
        <v>14.786</v>
      </c>
      <c r="L39" s="14" t="n">
        <f aca="false">IF(I39=0,"",100*J39/I39)</f>
        <v>1.18291786406469</v>
      </c>
      <c r="M39" s="12" t="n">
        <v>15.885</v>
      </c>
      <c r="N39" s="12" t="n">
        <v>0.174</v>
      </c>
      <c r="O39" s="15" t="n">
        <v>0.9419</v>
      </c>
      <c r="P39" s="15" t="n">
        <v>1.0181</v>
      </c>
      <c r="Q39" s="11"/>
    </row>
    <row r="40" customFormat="false" ht="15" hidden="false" customHeight="false" outlineLevel="0" collapsed="false">
      <c r="A40" s="7" t="str">
        <f aca="false">D40&amp;"-"&amp;TEXT(E40,"00")&amp;"-"&amp;H40&amp;"-"&amp;B40</f>
        <v>NF-12-200–300-dry</v>
      </c>
      <c r="B40" s="8" t="s">
        <v>67</v>
      </c>
      <c r="C40" s="8" t="s">
        <v>68</v>
      </c>
      <c r="D40" s="8" t="s">
        <v>41</v>
      </c>
      <c r="E40" s="8" t="n">
        <v>12</v>
      </c>
      <c r="F40" s="8" t="n">
        <v>200</v>
      </c>
      <c r="G40" s="8" t="n">
        <v>300</v>
      </c>
      <c r="H40" s="7" t="str">
        <f aca="false">F40&amp;"–"&amp;G40</f>
        <v>200–300</v>
      </c>
      <c r="I40" s="12" t="n">
        <v>8.844</v>
      </c>
      <c r="J40" s="12" t="n">
        <v>0.471</v>
      </c>
      <c r="K40" s="13" t="n">
        <f aca="false">I40-J40</f>
        <v>8.373</v>
      </c>
      <c r="L40" s="14" t="n">
        <f aca="false">IF(I40=0,"",100*J40/I40)</f>
        <v>5.32564450474898</v>
      </c>
      <c r="M40" s="12" t="n">
        <v>9.278</v>
      </c>
      <c r="N40" s="12" t="n">
        <v>0.497</v>
      </c>
      <c r="O40" s="15" t="n">
        <v>0.9532</v>
      </c>
      <c r="P40" s="15" t="n">
        <v>0.9475</v>
      </c>
      <c r="Q40" s="11"/>
    </row>
    <row r="41" customFormat="false" ht="15" hidden="false" customHeight="false" outlineLevel="0" collapsed="false">
      <c r="A41" s="7" t="str">
        <f aca="false">D41&amp;"-"&amp;TEXT(E41,"00")&amp;"-"&amp;H41&amp;"-"&amp;B41</f>
        <v>NF-13-0–100-dry</v>
      </c>
      <c r="B41" s="8" t="s">
        <v>67</v>
      </c>
      <c r="C41" s="8" t="s">
        <v>68</v>
      </c>
      <c r="D41" s="8" t="s">
        <v>41</v>
      </c>
      <c r="E41" s="8" t="n">
        <v>13</v>
      </c>
      <c r="F41" s="8" t="n">
        <v>0</v>
      </c>
      <c r="G41" s="8" t="n">
        <v>100</v>
      </c>
      <c r="H41" s="7" t="str">
        <f aca="false">F41&amp;"–"&amp;G41</f>
        <v>0–100</v>
      </c>
      <c r="I41" s="12" t="n">
        <v>11.314</v>
      </c>
      <c r="J41" s="12" t="n">
        <v>0.059</v>
      </c>
      <c r="K41" s="13" t="n">
        <f aca="false">I41-J41</f>
        <v>11.255</v>
      </c>
      <c r="L41" s="14" t="n">
        <f aca="false">IF(I41=0,"",100*J41/I41)</f>
        <v>0.521477815096341</v>
      </c>
      <c r="M41" s="12" t="n">
        <v>11.869</v>
      </c>
      <c r="N41" s="12" t="n">
        <v>0.063</v>
      </c>
      <c r="O41" s="15" t="n">
        <v>0.9532</v>
      </c>
      <c r="P41" s="15" t="n">
        <v>0.9494</v>
      </c>
      <c r="Q41" s="11"/>
    </row>
    <row r="42" customFormat="false" ht="15" hidden="false" customHeight="false" outlineLevel="0" collapsed="false">
      <c r="A42" s="7" t="str">
        <f aca="false">D42&amp;"-"&amp;TEXT(E42,"00")&amp;"-"&amp;H42&amp;"-"&amp;B42</f>
        <v>NF-13-100–200-dry</v>
      </c>
      <c r="B42" s="8" t="s">
        <v>67</v>
      </c>
      <c r="C42" s="8" t="s">
        <v>68</v>
      </c>
      <c r="D42" s="8" t="s">
        <v>41</v>
      </c>
      <c r="E42" s="8" t="n">
        <v>13</v>
      </c>
      <c r="F42" s="8" t="n">
        <v>100</v>
      </c>
      <c r="G42" s="8" t="n">
        <v>200</v>
      </c>
      <c r="H42" s="7" t="str">
        <f aca="false">F42&amp;"–"&amp;G42</f>
        <v>100–200</v>
      </c>
      <c r="I42" s="12" t="n">
        <v>15.213</v>
      </c>
      <c r="J42" s="12" t="n">
        <v>0.242</v>
      </c>
      <c r="K42" s="13" t="n">
        <f aca="false">I42-J42</f>
        <v>14.971</v>
      </c>
      <c r="L42" s="14" t="n">
        <f aca="false">IF(I42=0,"",100*J42/I42)</f>
        <v>1.59074475777296</v>
      </c>
      <c r="M42" s="12" t="n">
        <v>16.151</v>
      </c>
      <c r="N42" s="12" t="n">
        <v>0.238</v>
      </c>
      <c r="O42" s="15" t="n">
        <v>0.9419</v>
      </c>
      <c r="P42" s="15" t="n">
        <v>1.0181</v>
      </c>
      <c r="Q42" s="11"/>
    </row>
    <row r="43" customFormat="false" ht="15" hidden="false" customHeight="false" outlineLevel="0" collapsed="false">
      <c r="A43" s="7" t="str">
        <f aca="false">D43&amp;"-"&amp;TEXT(E43,"00")&amp;"-"&amp;H43&amp;"-"&amp;B43</f>
        <v>NF-13-200–300-dry</v>
      </c>
      <c r="B43" s="8" t="s">
        <v>67</v>
      </c>
      <c r="C43" s="8" t="s">
        <v>68</v>
      </c>
      <c r="D43" s="8" t="s">
        <v>41</v>
      </c>
      <c r="E43" s="8" t="n">
        <v>13</v>
      </c>
      <c r="F43" s="8" t="n">
        <v>200</v>
      </c>
      <c r="G43" s="8" t="n">
        <v>300</v>
      </c>
      <c r="H43" s="7" t="str">
        <f aca="false">F43&amp;"–"&amp;G43</f>
        <v>200–300</v>
      </c>
      <c r="I43" s="12" t="n">
        <v>9.264</v>
      </c>
      <c r="J43" s="12" t="n">
        <v>0.386</v>
      </c>
      <c r="K43" s="13" t="n">
        <f aca="false">I43-J43</f>
        <v>8.878</v>
      </c>
      <c r="L43" s="14" t="n">
        <f aca="false">IF(I43=0,"",100*J43/I43)</f>
        <v>4.16666666666667</v>
      </c>
      <c r="M43" s="12" t="n">
        <v>9.719</v>
      </c>
      <c r="N43" s="12" t="n">
        <v>0.407</v>
      </c>
      <c r="O43" s="15" t="n">
        <v>0.9532</v>
      </c>
      <c r="P43" s="15" t="n">
        <v>0.9475</v>
      </c>
      <c r="Q43" s="11"/>
    </row>
    <row r="44" customFormat="false" ht="15" hidden="false" customHeight="false" outlineLevel="0" collapsed="false">
      <c r="A44" s="7" t="str">
        <f aca="false">D44&amp;"-"&amp;TEXT(E44,"00")&amp;"-"&amp;H44&amp;"-"&amp;B44</f>
        <v>NF-14-0–100-dry</v>
      </c>
      <c r="B44" s="8" t="s">
        <v>67</v>
      </c>
      <c r="C44" s="8" t="s">
        <v>68</v>
      </c>
      <c r="D44" s="8" t="s">
        <v>41</v>
      </c>
      <c r="E44" s="8" t="n">
        <v>14</v>
      </c>
      <c r="F44" s="8" t="n">
        <v>0</v>
      </c>
      <c r="G44" s="8" t="n">
        <v>100</v>
      </c>
      <c r="H44" s="7" t="str">
        <f aca="false">F44&amp;"–"&amp;G44</f>
        <v>0–100</v>
      </c>
      <c r="I44" s="12" t="n">
        <v>21.6</v>
      </c>
      <c r="J44" s="12" t="n">
        <v>0.119</v>
      </c>
      <c r="K44" s="13" t="n">
        <f aca="false">I44-J44</f>
        <v>21.481</v>
      </c>
      <c r="L44" s="14" t="n">
        <f aca="false">IF(I44=0,"",100*J44/I44)</f>
        <v>0.550925925925926</v>
      </c>
      <c r="M44" s="12" t="n">
        <v>22.661</v>
      </c>
      <c r="N44" s="12" t="n">
        <v>0.125</v>
      </c>
      <c r="O44" s="15" t="n">
        <v>0.9532</v>
      </c>
      <c r="P44" s="15" t="n">
        <v>0.9494</v>
      </c>
      <c r="Q44" s="11"/>
    </row>
    <row r="45" customFormat="false" ht="15" hidden="false" customHeight="false" outlineLevel="0" collapsed="false">
      <c r="A45" s="7" t="str">
        <f aca="false">D45&amp;"-"&amp;TEXT(E45,"00")&amp;"-"&amp;H45&amp;"-"&amp;B45</f>
        <v>NF-14-100–200-dry</v>
      </c>
      <c r="B45" s="8" t="s">
        <v>67</v>
      </c>
      <c r="C45" s="8" t="s">
        <v>68</v>
      </c>
      <c r="D45" s="8" t="s">
        <v>41</v>
      </c>
      <c r="E45" s="8" t="n">
        <v>14</v>
      </c>
      <c r="F45" s="8" t="n">
        <v>100</v>
      </c>
      <c r="G45" s="8" t="n">
        <v>200</v>
      </c>
      <c r="H45" s="7" t="str">
        <f aca="false">F45&amp;"–"&amp;G45</f>
        <v>100–200</v>
      </c>
      <c r="I45" s="12" t="n">
        <v>18.125</v>
      </c>
      <c r="J45" s="12" t="n">
        <v>0.15</v>
      </c>
      <c r="K45" s="13" t="n">
        <f aca="false">I45-J45</f>
        <v>17.975</v>
      </c>
      <c r="L45" s="14" t="n">
        <f aca="false">IF(I45=0,"",100*J45/I45)</f>
        <v>0.827586206896552</v>
      </c>
      <c r="M45" s="12" t="n">
        <v>19.243</v>
      </c>
      <c r="N45" s="12" t="n">
        <v>0.147</v>
      </c>
      <c r="O45" s="15" t="n">
        <v>0.9419</v>
      </c>
      <c r="P45" s="15" t="n">
        <v>1.0181</v>
      </c>
      <c r="Q45" s="11"/>
    </row>
    <row r="46" customFormat="false" ht="15" hidden="false" customHeight="false" outlineLevel="0" collapsed="false">
      <c r="A46" s="7" t="str">
        <f aca="false">D46&amp;"-"&amp;TEXT(E46,"00")&amp;"-"&amp;H46&amp;"-"&amp;B46</f>
        <v>NF-14-200–300-dry</v>
      </c>
      <c r="B46" s="8" t="s">
        <v>67</v>
      </c>
      <c r="C46" s="8" t="s">
        <v>68</v>
      </c>
      <c r="D46" s="8" t="s">
        <v>41</v>
      </c>
      <c r="E46" s="8" t="n">
        <v>14</v>
      </c>
      <c r="F46" s="8" t="n">
        <v>200</v>
      </c>
      <c r="G46" s="8" t="n">
        <v>300</v>
      </c>
      <c r="H46" s="7" t="str">
        <f aca="false">F46&amp;"–"&amp;G46</f>
        <v>200–300</v>
      </c>
      <c r="I46" s="12" t="n">
        <v>13.236</v>
      </c>
      <c r="J46" s="12" t="n">
        <v>0.324</v>
      </c>
      <c r="K46" s="13" t="n">
        <f aca="false">I46-J46</f>
        <v>12.912</v>
      </c>
      <c r="L46" s="14" t="n">
        <f aca="false">IF(I46=0,"",100*J46/I46)</f>
        <v>2.44786944696283</v>
      </c>
      <c r="M46" s="12" t="n">
        <v>13.886</v>
      </c>
      <c r="N46" s="12" t="n">
        <v>0.342</v>
      </c>
      <c r="O46" s="15" t="n">
        <v>0.9532</v>
      </c>
      <c r="P46" s="15" t="n">
        <v>0.9475</v>
      </c>
      <c r="Q46" s="11"/>
    </row>
    <row r="47" customFormat="false" ht="15" hidden="false" customHeight="false" outlineLevel="0" collapsed="false">
      <c r="A47" s="7" t="str">
        <f aca="false">D47&amp;"-"&amp;TEXT(E47,"00")&amp;"-"&amp;H47&amp;"-"&amp;B47</f>
        <v>NF-15-0–100-dry</v>
      </c>
      <c r="B47" s="8" t="s">
        <v>67</v>
      </c>
      <c r="C47" s="8" t="s">
        <v>68</v>
      </c>
      <c r="D47" s="8" t="s">
        <v>41</v>
      </c>
      <c r="E47" s="8" t="n">
        <v>15</v>
      </c>
      <c r="F47" s="8" t="n">
        <v>0</v>
      </c>
      <c r="G47" s="8" t="n">
        <v>100</v>
      </c>
      <c r="H47" s="7" t="str">
        <f aca="false">F47&amp;"–"&amp;G47</f>
        <v>0–100</v>
      </c>
      <c r="I47" s="12" t="n">
        <v>15.676</v>
      </c>
      <c r="J47" s="12" t="n">
        <v>0.268</v>
      </c>
      <c r="K47" s="13" t="n">
        <f aca="false">I47-J47</f>
        <v>15.408</v>
      </c>
      <c r="L47" s="14" t="n">
        <f aca="false">IF(I47=0,"",100*J47/I47)</f>
        <v>1.70961980096964</v>
      </c>
      <c r="M47" s="12" t="n">
        <v>16.446</v>
      </c>
      <c r="N47" s="12" t="n">
        <v>0.283</v>
      </c>
      <c r="O47" s="15" t="n">
        <v>0.9532</v>
      </c>
      <c r="P47" s="15" t="n">
        <v>0.9494</v>
      </c>
      <c r="Q47" s="11"/>
    </row>
    <row r="48" customFormat="false" ht="15" hidden="false" customHeight="false" outlineLevel="0" collapsed="false">
      <c r="A48" s="7" t="str">
        <f aca="false">D48&amp;"-"&amp;TEXT(E48,"00")&amp;"-"&amp;H48&amp;"-"&amp;B48</f>
        <v>NF-15-100–200-dry</v>
      </c>
      <c r="B48" s="8" t="s">
        <v>67</v>
      </c>
      <c r="C48" s="8" t="s">
        <v>68</v>
      </c>
      <c r="D48" s="8" t="s">
        <v>41</v>
      </c>
      <c r="E48" s="8" t="n">
        <v>15</v>
      </c>
      <c r="F48" s="8" t="n">
        <v>100</v>
      </c>
      <c r="G48" s="8" t="n">
        <v>200</v>
      </c>
      <c r="H48" s="7" t="str">
        <f aca="false">F48&amp;"–"&amp;G48</f>
        <v>100–200</v>
      </c>
      <c r="I48" s="12" t="n">
        <v>16.864</v>
      </c>
      <c r="J48" s="12" t="n">
        <v>0.212</v>
      </c>
      <c r="K48" s="13" t="n">
        <f aca="false">I48-J48</f>
        <v>16.652</v>
      </c>
      <c r="L48" s="14" t="n">
        <f aca="false">IF(I48=0,"",100*J48/I48)</f>
        <v>1.25711574952562</v>
      </c>
      <c r="M48" s="12" t="n">
        <v>17.904</v>
      </c>
      <c r="N48" s="12" t="n">
        <v>0.208</v>
      </c>
      <c r="O48" s="15" t="n">
        <v>0.9419</v>
      </c>
      <c r="P48" s="15" t="n">
        <v>1.0181</v>
      </c>
      <c r="Q48" s="11"/>
    </row>
    <row r="49" customFormat="false" ht="15" hidden="false" customHeight="false" outlineLevel="0" collapsed="false">
      <c r="A49" s="7" t="str">
        <f aca="false">D49&amp;"-"&amp;TEXT(E49,"00")&amp;"-"&amp;H49&amp;"-"&amp;B49</f>
        <v>NF-15-200–300-dry</v>
      </c>
      <c r="B49" s="8" t="s">
        <v>67</v>
      </c>
      <c r="C49" s="8" t="s">
        <v>68</v>
      </c>
      <c r="D49" s="8" t="s">
        <v>41</v>
      </c>
      <c r="E49" s="8" t="n">
        <v>15</v>
      </c>
      <c r="F49" s="8" t="n">
        <v>200</v>
      </c>
      <c r="G49" s="8" t="n">
        <v>300</v>
      </c>
      <c r="H49" s="7" t="str">
        <f aca="false">F49&amp;"–"&amp;G49</f>
        <v>200–300</v>
      </c>
      <c r="I49" s="12" t="n">
        <v>10.896</v>
      </c>
      <c r="J49" s="12" t="n">
        <v>0.357</v>
      </c>
      <c r="K49" s="13" t="n">
        <f aca="false">I49-J49</f>
        <v>10.539</v>
      </c>
      <c r="L49" s="14" t="n">
        <f aca="false">IF(I49=0,"",100*J49/I49)</f>
        <v>3.27643171806167</v>
      </c>
      <c r="M49" s="12" t="n">
        <v>11.431</v>
      </c>
      <c r="N49" s="12" t="n">
        <v>0.376</v>
      </c>
      <c r="O49" s="15" t="n">
        <v>0.9532</v>
      </c>
      <c r="P49" s="15" t="n">
        <v>0.9475</v>
      </c>
      <c r="Q49" s="11"/>
    </row>
    <row r="50" customFormat="false" ht="15" hidden="false" customHeight="false" outlineLevel="0" collapsed="false">
      <c r="A50" s="7" t="str">
        <f aca="false">D50&amp;"-"&amp;TEXT(E50,"00")&amp;"-"&amp;H50&amp;"-"&amp;B50</f>
        <v>NF-16-0–100-dry</v>
      </c>
      <c r="B50" s="8" t="s">
        <v>67</v>
      </c>
      <c r="C50" s="8" t="s">
        <v>68</v>
      </c>
      <c r="D50" s="8" t="s">
        <v>41</v>
      </c>
      <c r="E50" s="8" t="n">
        <v>16</v>
      </c>
      <c r="F50" s="8" t="n">
        <v>0</v>
      </c>
      <c r="G50" s="8" t="n">
        <v>100</v>
      </c>
      <c r="H50" s="7" t="str">
        <f aca="false">F50&amp;"–"&amp;G50</f>
        <v>0–100</v>
      </c>
      <c r="I50" s="12" t="n">
        <v>15.001</v>
      </c>
      <c r="J50" s="12" t="n">
        <v>0.264</v>
      </c>
      <c r="K50" s="13" t="n">
        <f aca="false">I50-J50</f>
        <v>14.737</v>
      </c>
      <c r="L50" s="14" t="n">
        <f aca="false">IF(I50=0,"",100*J50/I50)</f>
        <v>1.75988267448837</v>
      </c>
      <c r="M50" s="12" t="n">
        <v>15.738</v>
      </c>
      <c r="N50" s="12" t="n">
        <v>0.278</v>
      </c>
      <c r="O50" s="15" t="n">
        <v>0.9532</v>
      </c>
      <c r="P50" s="15" t="n">
        <v>0.9494</v>
      </c>
      <c r="Q50" s="11"/>
    </row>
    <row r="51" customFormat="false" ht="15" hidden="false" customHeight="false" outlineLevel="0" collapsed="false">
      <c r="A51" s="7" t="str">
        <f aca="false">D51&amp;"-"&amp;TEXT(E51,"00")&amp;"-"&amp;H51&amp;"-"&amp;B51</f>
        <v>NF-16-100–200-dry</v>
      </c>
      <c r="B51" s="8" t="s">
        <v>67</v>
      </c>
      <c r="C51" s="8" t="s">
        <v>68</v>
      </c>
      <c r="D51" s="8" t="s">
        <v>41</v>
      </c>
      <c r="E51" s="8" t="n">
        <v>16</v>
      </c>
      <c r="F51" s="8" t="n">
        <v>100</v>
      </c>
      <c r="G51" s="8" t="n">
        <v>200</v>
      </c>
      <c r="H51" s="7" t="str">
        <f aca="false">F51&amp;"–"&amp;G51</f>
        <v>100–200</v>
      </c>
      <c r="I51" s="12" t="n">
        <v>13.486</v>
      </c>
      <c r="J51" s="12" t="n">
        <v>0.152</v>
      </c>
      <c r="K51" s="13" t="n">
        <f aca="false">I51-J51</f>
        <v>13.334</v>
      </c>
      <c r="L51" s="14" t="n">
        <f aca="false">IF(I51=0,"",100*J51/I51)</f>
        <v>1.12709476494142</v>
      </c>
      <c r="M51" s="12" t="n">
        <v>14.318</v>
      </c>
      <c r="N51" s="12" t="n">
        <v>0.149</v>
      </c>
      <c r="O51" s="15" t="n">
        <v>0.9419</v>
      </c>
      <c r="P51" s="15" t="n">
        <v>1.0181</v>
      </c>
      <c r="Q51" s="11"/>
    </row>
    <row r="52" customFormat="false" ht="15" hidden="false" customHeight="false" outlineLevel="0" collapsed="false">
      <c r="A52" s="7" t="str">
        <f aca="false">D52&amp;"-"&amp;TEXT(E52,"00")&amp;"-"&amp;H52&amp;"-"&amp;B52</f>
        <v>NF-16-200–300-dry</v>
      </c>
      <c r="B52" s="8" t="s">
        <v>67</v>
      </c>
      <c r="C52" s="8" t="s">
        <v>68</v>
      </c>
      <c r="D52" s="8" t="s">
        <v>41</v>
      </c>
      <c r="E52" s="8" t="n">
        <v>16</v>
      </c>
      <c r="F52" s="8" t="n">
        <v>200</v>
      </c>
      <c r="G52" s="8" t="n">
        <v>300</v>
      </c>
      <c r="H52" s="7" t="str">
        <f aca="false">F52&amp;"–"&amp;G52</f>
        <v>200–300</v>
      </c>
      <c r="I52" s="12" t="n">
        <v>7.575</v>
      </c>
      <c r="J52" s="12" t="n">
        <v>0.323</v>
      </c>
      <c r="K52" s="13" t="n">
        <f aca="false">I52-J52</f>
        <v>7.252</v>
      </c>
      <c r="L52" s="14" t="n">
        <f aca="false">IF(I52=0,"",100*J52/I52)</f>
        <v>4.26402640264027</v>
      </c>
      <c r="M52" s="12" t="n">
        <v>7.947</v>
      </c>
      <c r="N52" s="12" t="n">
        <v>0.341</v>
      </c>
      <c r="O52" s="15" t="n">
        <v>0.9532</v>
      </c>
      <c r="P52" s="15" t="n">
        <v>0.9475</v>
      </c>
      <c r="Q52" s="11"/>
    </row>
    <row r="53" customFormat="false" ht="15" hidden="false" customHeight="false" outlineLevel="0" collapsed="false">
      <c r="A53" s="7" t="str">
        <f aca="false">D53&amp;"-"&amp;TEXT(E53,"00")&amp;"-"&amp;H53&amp;"-"&amp;B53</f>
        <v>NF-17-0–100-dry</v>
      </c>
      <c r="B53" s="8" t="s">
        <v>67</v>
      </c>
      <c r="C53" s="8" t="s">
        <v>68</v>
      </c>
      <c r="D53" s="8" t="s">
        <v>41</v>
      </c>
      <c r="E53" s="8" t="n">
        <v>17</v>
      </c>
      <c r="F53" s="8" t="n">
        <v>0</v>
      </c>
      <c r="G53" s="8" t="n">
        <v>100</v>
      </c>
      <c r="H53" s="7" t="str">
        <f aca="false">F53&amp;"–"&amp;G53</f>
        <v>0–100</v>
      </c>
      <c r="I53" s="12" t="n">
        <v>19.525</v>
      </c>
      <c r="J53" s="12" t="n">
        <v>0.227</v>
      </c>
      <c r="K53" s="13" t="n">
        <f aca="false">I53-J53</f>
        <v>19.298</v>
      </c>
      <c r="L53" s="14" t="n">
        <f aca="false">IF(I53=0,"",100*J53/I53)</f>
        <v>1.16261203585147</v>
      </c>
      <c r="M53" s="12" t="n">
        <v>20.484</v>
      </c>
      <c r="N53" s="12" t="n">
        <v>0.24</v>
      </c>
      <c r="O53" s="15" t="n">
        <v>0.9532</v>
      </c>
      <c r="P53" s="15" t="n">
        <v>0.9494</v>
      </c>
      <c r="Q53" s="11"/>
    </row>
    <row r="54" customFormat="false" ht="15" hidden="false" customHeight="false" outlineLevel="0" collapsed="false">
      <c r="A54" s="7" t="str">
        <f aca="false">D54&amp;"-"&amp;TEXT(E54,"00")&amp;"-"&amp;H54&amp;"-"&amp;B54</f>
        <v>NF-17-100–200-dry</v>
      </c>
      <c r="B54" s="8" t="s">
        <v>67</v>
      </c>
      <c r="C54" s="8" t="s">
        <v>68</v>
      </c>
      <c r="D54" s="8" t="s">
        <v>41</v>
      </c>
      <c r="E54" s="8" t="n">
        <v>17</v>
      </c>
      <c r="F54" s="8" t="n">
        <v>100</v>
      </c>
      <c r="G54" s="8" t="n">
        <v>200</v>
      </c>
      <c r="H54" s="7" t="str">
        <f aca="false">F54&amp;"–"&amp;G54</f>
        <v>100–200</v>
      </c>
      <c r="I54" s="12" t="n">
        <v>18.622</v>
      </c>
      <c r="J54" s="12" t="n">
        <v>0.305</v>
      </c>
      <c r="K54" s="13" t="n">
        <f aca="false">I54-J54</f>
        <v>18.317</v>
      </c>
      <c r="L54" s="14" t="n">
        <f aca="false">IF(I54=0,"",100*J54/I54)</f>
        <v>1.63784770701321</v>
      </c>
      <c r="M54" s="12" t="n">
        <v>19.77</v>
      </c>
      <c r="N54" s="12" t="n">
        <v>0.3</v>
      </c>
      <c r="O54" s="15" t="n">
        <v>0.9419</v>
      </c>
      <c r="P54" s="15" t="n">
        <v>1.0181</v>
      </c>
      <c r="Q54" s="11"/>
    </row>
    <row r="55" customFormat="false" ht="15" hidden="false" customHeight="false" outlineLevel="0" collapsed="false">
      <c r="A55" s="7" t="str">
        <f aca="false">D55&amp;"-"&amp;TEXT(E55,"00")&amp;"-"&amp;H55&amp;"-"&amp;B55</f>
        <v>NF-17-200–300-dry</v>
      </c>
      <c r="B55" s="8" t="s">
        <v>67</v>
      </c>
      <c r="C55" s="8" t="s">
        <v>68</v>
      </c>
      <c r="D55" s="8" t="s">
        <v>41</v>
      </c>
      <c r="E55" s="8" t="n">
        <v>17</v>
      </c>
      <c r="F55" s="8" t="n">
        <v>200</v>
      </c>
      <c r="G55" s="8" t="n">
        <v>300</v>
      </c>
      <c r="H55" s="7" t="str">
        <f aca="false">F55&amp;"–"&amp;G55</f>
        <v>200–300</v>
      </c>
      <c r="I55" s="12" t="n">
        <v>12.88</v>
      </c>
      <c r="J55" s="12" t="n">
        <v>0.446</v>
      </c>
      <c r="K55" s="13" t="n">
        <f aca="false">I55-J55</f>
        <v>12.434</v>
      </c>
      <c r="L55" s="14" t="n">
        <f aca="false">IF(I55=0,"",100*J55/I55)</f>
        <v>3.46273291925466</v>
      </c>
      <c r="M55" s="12" t="n">
        <v>13.512</v>
      </c>
      <c r="N55" s="12" t="n">
        <v>0.47</v>
      </c>
      <c r="O55" s="15" t="n">
        <v>0.9532</v>
      </c>
      <c r="P55" s="15" t="n">
        <v>0.9475</v>
      </c>
      <c r="Q55" s="11"/>
    </row>
    <row r="56" customFormat="false" ht="15" hidden="false" customHeight="false" outlineLevel="0" collapsed="false">
      <c r="A56" s="7" t="str">
        <f aca="false">D56&amp;"-"&amp;TEXT(E56,"00")&amp;"-"&amp;H56&amp;"-"&amp;B56</f>
        <v>NF-18-0–100-dry</v>
      </c>
      <c r="B56" s="8" t="s">
        <v>67</v>
      </c>
      <c r="C56" s="8" t="s">
        <v>68</v>
      </c>
      <c r="D56" s="8" t="s">
        <v>41</v>
      </c>
      <c r="E56" s="8" t="n">
        <v>18</v>
      </c>
      <c r="F56" s="8" t="n">
        <v>0</v>
      </c>
      <c r="G56" s="8" t="n">
        <v>100</v>
      </c>
      <c r="H56" s="7" t="str">
        <f aca="false">F56&amp;"–"&amp;G56</f>
        <v>0–100</v>
      </c>
      <c r="I56" s="12" t="n">
        <v>13.919</v>
      </c>
      <c r="J56" s="12" t="n">
        <v>0.119</v>
      </c>
      <c r="K56" s="13" t="n">
        <f aca="false">I56-J56</f>
        <v>13.8</v>
      </c>
      <c r="L56" s="14" t="n">
        <f aca="false">IF(I56=0,"",100*J56/I56)</f>
        <v>0.854946476039945</v>
      </c>
      <c r="M56" s="12" t="n">
        <v>14.602</v>
      </c>
      <c r="N56" s="12" t="n">
        <v>0.125</v>
      </c>
      <c r="O56" s="15" t="n">
        <v>0.9532</v>
      </c>
      <c r="P56" s="15" t="n">
        <v>0.9494</v>
      </c>
      <c r="Q56" s="11"/>
    </row>
    <row r="57" customFormat="false" ht="15" hidden="false" customHeight="false" outlineLevel="0" collapsed="false">
      <c r="A57" s="7" t="str">
        <f aca="false">D57&amp;"-"&amp;TEXT(E57,"00")&amp;"-"&amp;H57&amp;"-"&amp;B57</f>
        <v>NF-18-100–200-dry</v>
      </c>
      <c r="B57" s="8" t="s">
        <v>67</v>
      </c>
      <c r="C57" s="8" t="s">
        <v>68</v>
      </c>
      <c r="D57" s="8" t="s">
        <v>41</v>
      </c>
      <c r="E57" s="8" t="n">
        <v>18</v>
      </c>
      <c r="F57" s="8" t="n">
        <v>100</v>
      </c>
      <c r="G57" s="8" t="n">
        <v>200</v>
      </c>
      <c r="H57" s="7" t="str">
        <f aca="false">F57&amp;"–"&amp;G57</f>
        <v>100–200</v>
      </c>
      <c r="I57" s="12" t="n">
        <v>16.308</v>
      </c>
      <c r="J57" s="12" t="n">
        <v>0.15</v>
      </c>
      <c r="K57" s="13" t="n">
        <f aca="false">I57-J57</f>
        <v>16.158</v>
      </c>
      <c r="L57" s="14" t="n">
        <f aca="false">IF(I57=0,"",100*J57/I57)</f>
        <v>0.919793966151582</v>
      </c>
      <c r="M57" s="12" t="n">
        <v>17.314</v>
      </c>
      <c r="N57" s="12" t="n">
        <v>0.147</v>
      </c>
      <c r="O57" s="15" t="n">
        <v>0.9419</v>
      </c>
      <c r="P57" s="15" t="n">
        <v>1.0181</v>
      </c>
      <c r="Q57" s="11"/>
    </row>
    <row r="58" customFormat="false" ht="15" hidden="false" customHeight="false" outlineLevel="0" collapsed="false">
      <c r="A58" s="7" t="str">
        <f aca="false">D58&amp;"-"&amp;TEXT(E58,"00")&amp;"-"&amp;H58&amp;"-"&amp;B58</f>
        <v>NF-18-200–300-dry</v>
      </c>
      <c r="B58" s="8" t="s">
        <v>67</v>
      </c>
      <c r="C58" s="8" t="s">
        <v>68</v>
      </c>
      <c r="D58" s="8" t="s">
        <v>41</v>
      </c>
      <c r="E58" s="8" t="n">
        <v>18</v>
      </c>
      <c r="F58" s="8" t="n">
        <v>200</v>
      </c>
      <c r="G58" s="8" t="n">
        <v>300</v>
      </c>
      <c r="H58" s="7" t="str">
        <f aca="false">F58&amp;"–"&amp;G58</f>
        <v>200–300</v>
      </c>
      <c r="I58" s="12" t="n">
        <v>13.836</v>
      </c>
      <c r="J58" s="12" t="n">
        <v>0.327</v>
      </c>
      <c r="K58" s="13" t="n">
        <f aca="false">I58-J58</f>
        <v>13.509</v>
      </c>
      <c r="L58" s="14" t="n">
        <f aca="false">IF(I58=0,"",100*J58/I58)</f>
        <v>2.36339982653946</v>
      </c>
      <c r="M58" s="12" t="n">
        <v>14.516</v>
      </c>
      <c r="N58" s="12" t="n">
        <v>0.345</v>
      </c>
      <c r="O58" s="15" t="n">
        <v>0.9532</v>
      </c>
      <c r="P58" s="15" t="n">
        <v>0.9475</v>
      </c>
      <c r="Q58" s="11"/>
    </row>
    <row r="59" customFormat="false" ht="15" hidden="false" customHeight="false" outlineLevel="0" collapsed="false">
      <c r="A59" s="7" t="str">
        <f aca="false">D59&amp;"-"&amp;TEXT(E59,"00")&amp;"-"&amp;H59&amp;"-"&amp;B59</f>
        <v>NF-19-0–100-dry</v>
      </c>
      <c r="B59" s="8" t="s">
        <v>67</v>
      </c>
      <c r="C59" s="8" t="s">
        <v>68</v>
      </c>
      <c r="D59" s="8" t="s">
        <v>41</v>
      </c>
      <c r="E59" s="8" t="n">
        <v>19</v>
      </c>
      <c r="F59" s="8" t="n">
        <v>0</v>
      </c>
      <c r="G59" s="8" t="n">
        <v>100</v>
      </c>
      <c r="H59" s="7" t="str">
        <f aca="false">F59&amp;"–"&amp;G59</f>
        <v>0–100</v>
      </c>
      <c r="I59" s="12" t="n">
        <v>16.581</v>
      </c>
      <c r="J59" s="12" t="n">
        <v>0.206</v>
      </c>
      <c r="K59" s="13" t="n">
        <f aca="false">I59-J59</f>
        <v>16.375</v>
      </c>
      <c r="L59" s="14" t="n">
        <f aca="false">IF(I59=0,"",100*J59/I59)</f>
        <v>1.24238586333755</v>
      </c>
      <c r="M59" s="12" t="n">
        <v>17.395</v>
      </c>
      <c r="N59" s="12" t="n">
        <v>0.216</v>
      </c>
      <c r="O59" s="15" t="n">
        <v>0.9532</v>
      </c>
      <c r="P59" s="15" t="n">
        <v>0.9494</v>
      </c>
      <c r="Q59" s="11"/>
    </row>
    <row r="60" customFormat="false" ht="15" hidden="false" customHeight="false" outlineLevel="0" collapsed="false">
      <c r="A60" s="7" t="str">
        <f aca="false">D60&amp;"-"&amp;TEXT(E60,"00")&amp;"-"&amp;H60&amp;"-"&amp;B60</f>
        <v>NF-19-100–200-dry</v>
      </c>
      <c r="B60" s="8" t="s">
        <v>67</v>
      </c>
      <c r="C60" s="8" t="s">
        <v>68</v>
      </c>
      <c r="D60" s="8" t="s">
        <v>41</v>
      </c>
      <c r="E60" s="8" t="n">
        <v>19</v>
      </c>
      <c r="F60" s="8" t="n">
        <v>100</v>
      </c>
      <c r="G60" s="8" t="n">
        <v>200</v>
      </c>
      <c r="H60" s="7" t="str">
        <f aca="false">F60&amp;"–"&amp;G60</f>
        <v>100–200</v>
      </c>
      <c r="I60" s="12" t="n">
        <v>16.148</v>
      </c>
      <c r="J60" s="12" t="n">
        <v>0.243</v>
      </c>
      <c r="K60" s="13" t="n">
        <f aca="false">I60-J60</f>
        <v>15.905</v>
      </c>
      <c r="L60" s="14" t="n">
        <f aca="false">IF(I60=0,"",100*J60/I60)</f>
        <v>1.50483031954422</v>
      </c>
      <c r="M60" s="12" t="n">
        <v>17.144</v>
      </c>
      <c r="N60" s="12" t="n">
        <v>0.238</v>
      </c>
      <c r="O60" s="15" t="n">
        <v>0.9419</v>
      </c>
      <c r="P60" s="15" t="n">
        <v>1.0181</v>
      </c>
      <c r="Q60" s="11"/>
    </row>
    <row r="61" customFormat="false" ht="15" hidden="false" customHeight="false" outlineLevel="0" collapsed="false">
      <c r="A61" s="7" t="str">
        <f aca="false">D61&amp;"-"&amp;TEXT(E61,"00")&amp;"-"&amp;H61&amp;"-"&amp;B61</f>
        <v>NF-19-200–300-dry</v>
      </c>
      <c r="B61" s="8" t="s">
        <v>67</v>
      </c>
      <c r="C61" s="8" t="s">
        <v>68</v>
      </c>
      <c r="D61" s="8" t="s">
        <v>41</v>
      </c>
      <c r="E61" s="8" t="n">
        <v>19</v>
      </c>
      <c r="F61" s="8" t="n">
        <v>200</v>
      </c>
      <c r="G61" s="8" t="n">
        <v>300</v>
      </c>
      <c r="H61" s="7" t="str">
        <f aca="false">F61&amp;"–"&amp;G61</f>
        <v>200–300</v>
      </c>
      <c r="I61" s="12" t="n">
        <v>14.536</v>
      </c>
      <c r="J61" s="12" t="n">
        <v>0.414</v>
      </c>
      <c r="K61" s="13" t="n">
        <f aca="false">I61-J61</f>
        <v>14.122</v>
      </c>
      <c r="L61" s="14" t="n">
        <f aca="false">IF(I61=0,"",100*J61/I61)</f>
        <v>2.84810126582279</v>
      </c>
      <c r="M61" s="12" t="n">
        <v>15.25</v>
      </c>
      <c r="N61" s="12" t="n">
        <v>0.437</v>
      </c>
      <c r="O61" s="15" t="n">
        <v>0.9532</v>
      </c>
      <c r="P61" s="15" t="n">
        <v>0.9475</v>
      </c>
      <c r="Q61" s="11"/>
    </row>
    <row r="62" customFormat="false" ht="15" hidden="false" customHeight="false" outlineLevel="0" collapsed="false">
      <c r="A62" s="7" t="str">
        <f aca="false">D62&amp;"-"&amp;TEXT(E62,"00")&amp;"-"&amp;H62&amp;"-"&amp;B62</f>
        <v>NF-20-0–100-dry</v>
      </c>
      <c r="B62" s="8" t="s">
        <v>67</v>
      </c>
      <c r="C62" s="8" t="s">
        <v>68</v>
      </c>
      <c r="D62" s="8" t="s">
        <v>41</v>
      </c>
      <c r="E62" s="8" t="n">
        <v>20</v>
      </c>
      <c r="F62" s="8" t="n">
        <v>0</v>
      </c>
      <c r="G62" s="8" t="n">
        <v>100</v>
      </c>
      <c r="H62" s="7" t="str">
        <f aca="false">F62&amp;"–"&amp;G62</f>
        <v>0–100</v>
      </c>
      <c r="I62" s="12" t="n">
        <v>13.744</v>
      </c>
      <c r="J62" s="12" t="n">
        <v>0.263</v>
      </c>
      <c r="K62" s="13" t="n">
        <f aca="false">I62-J62</f>
        <v>13.481</v>
      </c>
      <c r="L62" s="14" t="n">
        <f aca="false">IF(I62=0,"",100*J62/I62)</f>
        <v>1.91356228172293</v>
      </c>
      <c r="M62" s="12" t="n">
        <v>14.419</v>
      </c>
      <c r="N62" s="12" t="n">
        <v>0.277</v>
      </c>
      <c r="O62" s="15" t="n">
        <v>0.9532</v>
      </c>
      <c r="P62" s="15" t="n">
        <v>0.9494</v>
      </c>
      <c r="Q62" s="11"/>
    </row>
    <row r="63" customFormat="false" ht="15" hidden="false" customHeight="false" outlineLevel="0" collapsed="false">
      <c r="A63" s="7" t="str">
        <f aca="false">D63&amp;"-"&amp;TEXT(E63,"00")&amp;"-"&amp;H63&amp;"-"&amp;B63</f>
        <v>NF-20-100–200-dry</v>
      </c>
      <c r="B63" s="8" t="s">
        <v>67</v>
      </c>
      <c r="C63" s="8" t="s">
        <v>68</v>
      </c>
      <c r="D63" s="8" t="s">
        <v>41</v>
      </c>
      <c r="E63" s="8" t="n">
        <v>20</v>
      </c>
      <c r="F63" s="8" t="n">
        <v>100</v>
      </c>
      <c r="G63" s="8" t="n">
        <v>200</v>
      </c>
      <c r="H63" s="7" t="str">
        <f aca="false">F63&amp;"–"&amp;G63</f>
        <v>100–200</v>
      </c>
      <c r="I63" s="12" t="n">
        <v>17.019</v>
      </c>
      <c r="J63" s="12" t="n">
        <v>0.15</v>
      </c>
      <c r="K63" s="13" t="n">
        <f aca="false">I63-J63</f>
        <v>16.869</v>
      </c>
      <c r="L63" s="14" t="n">
        <f aca="false">IF(I63=0,"",100*J63/I63)</f>
        <v>0.881367882954345</v>
      </c>
      <c r="M63" s="12" t="n">
        <v>18.069</v>
      </c>
      <c r="N63" s="12" t="n">
        <v>0.147</v>
      </c>
      <c r="O63" s="15" t="n">
        <v>0.9419</v>
      </c>
      <c r="P63" s="15" t="n">
        <v>1.0181</v>
      </c>
      <c r="Q63" s="11"/>
    </row>
    <row r="64" customFormat="false" ht="15" hidden="false" customHeight="false" outlineLevel="0" collapsed="false">
      <c r="A64" s="7" t="str">
        <f aca="false">D64&amp;"-"&amp;TEXT(E64,"00")&amp;"-"&amp;H64&amp;"-"&amp;B64</f>
        <v>NF-20-200–300-dry</v>
      </c>
      <c r="B64" s="8" t="s">
        <v>67</v>
      </c>
      <c r="C64" s="8" t="s">
        <v>68</v>
      </c>
      <c r="D64" s="8" t="s">
        <v>41</v>
      </c>
      <c r="E64" s="8" t="n">
        <v>20</v>
      </c>
      <c r="F64" s="8" t="n">
        <v>200</v>
      </c>
      <c r="G64" s="8" t="n">
        <v>300</v>
      </c>
      <c r="H64" s="7" t="str">
        <f aca="false">F64&amp;"–"&amp;G64</f>
        <v>200–300</v>
      </c>
      <c r="I64" s="12" t="n">
        <v>10.213</v>
      </c>
      <c r="J64" s="12" t="n">
        <v>0.326</v>
      </c>
      <c r="K64" s="13" t="n">
        <f aca="false">I64-J64</f>
        <v>9.887</v>
      </c>
      <c r="L64" s="14" t="n">
        <f aca="false">IF(I64=0,"",100*J64/I64)</f>
        <v>3.19201018309997</v>
      </c>
      <c r="M64" s="12" t="n">
        <v>10.714</v>
      </c>
      <c r="N64" s="12" t="n">
        <v>0.344</v>
      </c>
      <c r="O64" s="15" t="n">
        <v>0.9532</v>
      </c>
      <c r="P64" s="15" t="n">
        <v>0.9475</v>
      </c>
      <c r="Q64" s="11"/>
    </row>
    <row r="65" customFormat="false" ht="15" hidden="false" customHeight="false" outlineLevel="0" collapsed="false">
      <c r="A65" s="7" t="str">
        <f aca="false">D65&amp;"-"&amp;TEXT(E65,"00")&amp;"-"&amp;H65&amp;"-"&amp;B65</f>
        <v>ICL-01-0–100-dry</v>
      </c>
      <c r="B65" s="8" t="s">
        <v>67</v>
      </c>
      <c r="C65" s="8" t="s">
        <v>68</v>
      </c>
      <c r="D65" s="8" t="s">
        <v>44</v>
      </c>
      <c r="E65" s="8" t="n">
        <v>1</v>
      </c>
      <c r="F65" s="8" t="n">
        <v>0</v>
      </c>
      <c r="G65" s="8" t="n">
        <v>100</v>
      </c>
      <c r="H65" s="7" t="str">
        <f aca="false">F65&amp;"–"&amp;G65</f>
        <v>0–100</v>
      </c>
      <c r="I65" s="12" t="n">
        <v>13.346</v>
      </c>
      <c r="J65" s="12" t="n">
        <v>0.906</v>
      </c>
      <c r="K65" s="13" t="n">
        <f aca="false">I65-J65</f>
        <v>12.44</v>
      </c>
      <c r="L65" s="14" t="n">
        <f aca="false">IF(I65=0,"",100*J65/I65)</f>
        <v>6.78855087666717</v>
      </c>
      <c r="M65" s="12" t="n">
        <v>14.448</v>
      </c>
      <c r="N65" s="12" t="n">
        <v>0.968</v>
      </c>
      <c r="O65" s="15" t="n">
        <v>0.9237</v>
      </c>
      <c r="P65" s="15" t="n">
        <v>0.9364</v>
      </c>
      <c r="Q65" s="11"/>
    </row>
    <row r="66" customFormat="false" ht="15" hidden="false" customHeight="false" outlineLevel="0" collapsed="false">
      <c r="A66" s="7" t="str">
        <f aca="false">D66&amp;"-"&amp;TEXT(E66,"00")&amp;"-"&amp;H66&amp;"-"&amp;B66</f>
        <v>ICL-01-100–200-dry</v>
      </c>
      <c r="B66" s="8" t="s">
        <v>67</v>
      </c>
      <c r="C66" s="8" t="s">
        <v>68</v>
      </c>
      <c r="D66" s="8" t="s">
        <v>44</v>
      </c>
      <c r="E66" s="8" t="n">
        <v>1</v>
      </c>
      <c r="F66" s="8" t="n">
        <v>100</v>
      </c>
      <c r="G66" s="8" t="n">
        <v>200</v>
      </c>
      <c r="H66" s="7" t="str">
        <f aca="false">F66&amp;"–"&amp;G66</f>
        <v>100–200</v>
      </c>
      <c r="I66" s="12" t="n">
        <v>10.072</v>
      </c>
      <c r="J66" s="12" t="n">
        <v>0.512</v>
      </c>
      <c r="K66" s="13" t="n">
        <f aca="false">I66-J66</f>
        <v>9.56</v>
      </c>
      <c r="L66" s="14" t="n">
        <f aca="false">IF(I66=0,"",100*J66/I66)</f>
        <v>5.0833995234313</v>
      </c>
      <c r="M66" s="12" t="n">
        <v>10.566</v>
      </c>
      <c r="N66" s="12" t="n">
        <v>0.55</v>
      </c>
      <c r="O66" s="15" t="n">
        <v>0.9532</v>
      </c>
      <c r="P66" s="15" t="n">
        <v>0.9309</v>
      </c>
      <c r="Q66" s="11"/>
    </row>
    <row r="67" customFormat="false" ht="15" hidden="false" customHeight="false" outlineLevel="0" collapsed="false">
      <c r="A67" s="7" t="str">
        <f aca="false">D67&amp;"-"&amp;TEXT(E67,"00")&amp;"-"&amp;H67&amp;"-"&amp;B67</f>
        <v>ICL-01-200–300-dry</v>
      </c>
      <c r="B67" s="8" t="s">
        <v>67</v>
      </c>
      <c r="C67" s="8" t="s">
        <v>68</v>
      </c>
      <c r="D67" s="8" t="s">
        <v>44</v>
      </c>
      <c r="E67" s="8" t="n">
        <v>1</v>
      </c>
      <c r="F67" s="8" t="n">
        <v>200</v>
      </c>
      <c r="G67" s="8" t="n">
        <v>300</v>
      </c>
      <c r="H67" s="7" t="str">
        <f aca="false">F67&amp;"–"&amp;G67</f>
        <v>200–300</v>
      </c>
      <c r="I67" s="12" t="n">
        <v>8.379</v>
      </c>
      <c r="J67" s="12" t="n">
        <v>0.505</v>
      </c>
      <c r="K67" s="13" t="n">
        <f aca="false">I67-J67</f>
        <v>7.874</v>
      </c>
      <c r="L67" s="14" t="n">
        <f aca="false">IF(I67=0,"",100*J67/I67)</f>
        <v>6.02697219238573</v>
      </c>
      <c r="M67" s="12" t="n">
        <v>8.86</v>
      </c>
      <c r="N67" s="12" t="n">
        <v>0.535</v>
      </c>
      <c r="O67" s="15" t="n">
        <v>0.9457</v>
      </c>
      <c r="P67" s="15" t="n">
        <v>0.9438</v>
      </c>
      <c r="Q67" s="11"/>
    </row>
    <row r="68" customFormat="false" ht="15" hidden="false" customHeight="false" outlineLevel="0" collapsed="false">
      <c r="A68" s="7" t="str">
        <f aca="false">D68&amp;"-"&amp;TEXT(E68,"00")&amp;"-"&amp;H68&amp;"-"&amp;B68</f>
        <v>ICL-02-0–100-dry</v>
      </c>
      <c r="B68" s="8" t="s">
        <v>67</v>
      </c>
      <c r="C68" s="8" t="s">
        <v>68</v>
      </c>
      <c r="D68" s="8" t="s">
        <v>44</v>
      </c>
      <c r="E68" s="8" t="n">
        <v>2</v>
      </c>
      <c r="F68" s="8" t="n">
        <v>0</v>
      </c>
      <c r="G68" s="8" t="n">
        <v>100</v>
      </c>
      <c r="H68" s="7" t="str">
        <f aca="false">F68&amp;"–"&amp;G68</f>
        <v>0–100</v>
      </c>
      <c r="I68" s="12" t="n">
        <v>14.779</v>
      </c>
      <c r="J68" s="12" t="n">
        <v>0.732</v>
      </c>
      <c r="K68" s="13" t="n">
        <f aca="false">I68-J68</f>
        <v>14.047</v>
      </c>
      <c r="L68" s="14" t="n">
        <f aca="false">IF(I68=0,"",100*J68/I68)</f>
        <v>4.95297381419582</v>
      </c>
      <c r="M68" s="12" t="n">
        <v>15.999</v>
      </c>
      <c r="N68" s="12" t="n">
        <v>0.781</v>
      </c>
      <c r="O68" s="15" t="n">
        <v>0.9237</v>
      </c>
      <c r="P68" s="15" t="n">
        <v>0.9364</v>
      </c>
      <c r="Q68" s="11"/>
    </row>
    <row r="69" customFormat="false" ht="15" hidden="false" customHeight="false" outlineLevel="0" collapsed="false">
      <c r="A69" s="7" t="str">
        <f aca="false">D69&amp;"-"&amp;TEXT(E69,"00")&amp;"-"&amp;H69&amp;"-"&amp;B69</f>
        <v>ICL-02-100–200-dry</v>
      </c>
      <c r="B69" s="8" t="s">
        <v>67</v>
      </c>
      <c r="C69" s="8" t="s">
        <v>68</v>
      </c>
      <c r="D69" s="8" t="s">
        <v>44</v>
      </c>
      <c r="E69" s="8" t="n">
        <v>2</v>
      </c>
      <c r="F69" s="8" t="n">
        <v>100</v>
      </c>
      <c r="G69" s="8" t="n">
        <v>200</v>
      </c>
      <c r="H69" s="7" t="str">
        <f aca="false">F69&amp;"–"&amp;G69</f>
        <v>100–200</v>
      </c>
      <c r="I69" s="12" t="n">
        <v>10.635</v>
      </c>
      <c r="J69" s="12" t="n">
        <v>0.342</v>
      </c>
      <c r="K69" s="13" t="n">
        <f aca="false">I69-J69</f>
        <v>10.293</v>
      </c>
      <c r="L69" s="14" t="n">
        <f aca="false">IF(I69=0,"",100*J69/I69)</f>
        <v>3.21579689703808</v>
      </c>
      <c r="M69" s="12" t="n">
        <v>11.157</v>
      </c>
      <c r="N69" s="12" t="n">
        <v>0.367</v>
      </c>
      <c r="O69" s="15" t="n">
        <v>0.9532</v>
      </c>
      <c r="P69" s="15" t="n">
        <v>0.9309</v>
      </c>
      <c r="Q69" s="11"/>
    </row>
    <row r="70" customFormat="false" ht="15" hidden="false" customHeight="false" outlineLevel="0" collapsed="false">
      <c r="A70" s="7" t="str">
        <f aca="false">D70&amp;"-"&amp;TEXT(E70,"00")&amp;"-"&amp;H70&amp;"-"&amp;B70</f>
        <v>ICL-02-200–300-dry</v>
      </c>
      <c r="B70" s="8" t="s">
        <v>67</v>
      </c>
      <c r="C70" s="8" t="s">
        <v>68</v>
      </c>
      <c r="D70" s="8" t="s">
        <v>44</v>
      </c>
      <c r="E70" s="8" t="n">
        <v>2</v>
      </c>
      <c r="F70" s="8" t="n">
        <v>200</v>
      </c>
      <c r="G70" s="8" t="n">
        <v>300</v>
      </c>
      <c r="H70" s="7" t="str">
        <f aca="false">F70&amp;"–"&amp;G70</f>
        <v>200–300</v>
      </c>
      <c r="I70" s="12" t="n">
        <v>10.374</v>
      </c>
      <c r="J70" s="12" t="n">
        <v>0.427</v>
      </c>
      <c r="K70" s="13" t="n">
        <f aca="false">I70-J70</f>
        <v>9.947</v>
      </c>
      <c r="L70" s="14" t="n">
        <f aca="false">IF(I70=0,"",100*J70/I70)</f>
        <v>4.11605937921727</v>
      </c>
      <c r="M70" s="12" t="n">
        <v>10.97</v>
      </c>
      <c r="N70" s="12" t="n">
        <v>0.452</v>
      </c>
      <c r="O70" s="15" t="n">
        <v>0.9457</v>
      </c>
      <c r="P70" s="15" t="n">
        <v>0.9438</v>
      </c>
      <c r="Q70" s="11"/>
    </row>
    <row r="71" customFormat="false" ht="15" hidden="false" customHeight="false" outlineLevel="0" collapsed="false">
      <c r="A71" s="7" t="str">
        <f aca="false">D71&amp;"-"&amp;TEXT(E71,"00")&amp;"-"&amp;H71&amp;"-"&amp;B71</f>
        <v>ICL-03-0–100-dry</v>
      </c>
      <c r="B71" s="8" t="s">
        <v>67</v>
      </c>
      <c r="C71" s="8" t="s">
        <v>68</v>
      </c>
      <c r="D71" s="8" t="s">
        <v>44</v>
      </c>
      <c r="E71" s="8" t="n">
        <v>3</v>
      </c>
      <c r="F71" s="8" t="n">
        <v>0</v>
      </c>
      <c r="G71" s="8" t="n">
        <v>100</v>
      </c>
      <c r="H71" s="7" t="str">
        <f aca="false">F71&amp;"–"&amp;G71</f>
        <v>0–100</v>
      </c>
      <c r="I71" s="12" t="n">
        <v>15.847</v>
      </c>
      <c r="J71" s="12" t="n">
        <v>0.702</v>
      </c>
      <c r="K71" s="13" t="n">
        <f aca="false">I71-J71</f>
        <v>15.145</v>
      </c>
      <c r="L71" s="14" t="n">
        <f aca="false">IF(I71=0,"",100*J71/I71)</f>
        <v>4.4298605414274</v>
      </c>
      <c r="M71" s="12" t="n">
        <v>25.068</v>
      </c>
      <c r="N71" s="12" t="n">
        <v>0.75</v>
      </c>
      <c r="O71" s="15" t="n">
        <v>0.9237</v>
      </c>
      <c r="P71" s="15" t="n">
        <v>0.9364</v>
      </c>
      <c r="Q71" s="11" t="s">
        <v>69</v>
      </c>
    </row>
    <row r="72" customFormat="false" ht="15" hidden="false" customHeight="false" outlineLevel="0" collapsed="false">
      <c r="A72" s="7" t="str">
        <f aca="false">D72&amp;"-"&amp;TEXT(E72,"00")&amp;"-"&amp;H72&amp;"-"&amp;B72</f>
        <v>ICL-03-100–200-dry</v>
      </c>
      <c r="B72" s="8" t="s">
        <v>67</v>
      </c>
      <c r="C72" s="8" t="s">
        <v>68</v>
      </c>
      <c r="D72" s="8" t="s">
        <v>44</v>
      </c>
      <c r="E72" s="8" t="n">
        <v>3</v>
      </c>
      <c r="F72" s="8" t="n">
        <v>100</v>
      </c>
      <c r="G72" s="8" t="n">
        <v>200</v>
      </c>
      <c r="H72" s="7" t="str">
        <f aca="false">F72&amp;"–"&amp;G72</f>
        <v>100–200</v>
      </c>
      <c r="I72" s="12" t="n">
        <v>13.695</v>
      </c>
      <c r="J72" s="12" t="n">
        <v>0.375</v>
      </c>
      <c r="K72" s="13" t="n">
        <f aca="false">I72-J72</f>
        <v>13.32</v>
      </c>
      <c r="L72" s="14" t="n">
        <f aca="false">IF(I72=0,"",100*J72/I72)</f>
        <v>2.7382256297919</v>
      </c>
      <c r="M72" s="12" t="n">
        <v>14.367</v>
      </c>
      <c r="N72" s="12" t="n">
        <v>0.403</v>
      </c>
      <c r="O72" s="15" t="n">
        <v>0.9532</v>
      </c>
      <c r="P72" s="15" t="n">
        <v>0.9309</v>
      </c>
      <c r="Q72" s="11"/>
    </row>
    <row r="73" customFormat="false" ht="15" hidden="false" customHeight="false" outlineLevel="0" collapsed="false">
      <c r="A73" s="7" t="str">
        <f aca="false">D73&amp;"-"&amp;TEXT(E73,"00")&amp;"-"&amp;H73&amp;"-"&amp;B73</f>
        <v>ICL-03-200–300-dry</v>
      </c>
      <c r="B73" s="8" t="s">
        <v>67</v>
      </c>
      <c r="C73" s="8" t="s">
        <v>68</v>
      </c>
      <c r="D73" s="8" t="s">
        <v>44</v>
      </c>
      <c r="E73" s="8" t="n">
        <v>3</v>
      </c>
      <c r="F73" s="8" t="n">
        <v>200</v>
      </c>
      <c r="G73" s="8" t="n">
        <v>300</v>
      </c>
      <c r="H73" s="7" t="str">
        <f aca="false">F73&amp;"–"&amp;G73</f>
        <v>200–300</v>
      </c>
      <c r="I73" s="12" t="n">
        <v>11.714</v>
      </c>
      <c r="J73" s="12" t="n">
        <v>0.573</v>
      </c>
      <c r="K73" s="13" t="n">
        <f aca="false">I73-J73</f>
        <v>11.141</v>
      </c>
      <c r="L73" s="14" t="n">
        <f aca="false">IF(I73=0,"",100*J73/I73)</f>
        <v>4.89158272152979</v>
      </c>
      <c r="M73" s="12" t="n">
        <v>12.387</v>
      </c>
      <c r="N73" s="12" t="n">
        <v>0.607</v>
      </c>
      <c r="O73" s="15" t="n">
        <v>0.9457</v>
      </c>
      <c r="P73" s="15" t="n">
        <v>0.9438</v>
      </c>
      <c r="Q73" s="11"/>
    </row>
    <row r="74" customFormat="false" ht="15" hidden="false" customHeight="false" outlineLevel="0" collapsed="false">
      <c r="A74" s="7" t="str">
        <f aca="false">D74&amp;"-"&amp;TEXT(E74,"00")&amp;"-"&amp;H74&amp;"-"&amp;B74</f>
        <v>ICL-04-0–100-dry</v>
      </c>
      <c r="B74" s="8" t="s">
        <v>67</v>
      </c>
      <c r="C74" s="8" t="s">
        <v>68</v>
      </c>
      <c r="D74" s="8" t="s">
        <v>44</v>
      </c>
      <c r="E74" s="8" t="n">
        <v>4</v>
      </c>
      <c r="F74" s="8" t="n">
        <v>0</v>
      </c>
      <c r="G74" s="8" t="n">
        <v>100</v>
      </c>
      <c r="H74" s="7" t="str">
        <f aca="false">F74&amp;"–"&amp;G74</f>
        <v>0–100</v>
      </c>
      <c r="I74" s="12" t="n">
        <v>16.015</v>
      </c>
      <c r="J74" s="12" t="n">
        <v>0.788</v>
      </c>
      <c r="K74" s="13" t="n">
        <f aca="false">I74-J74</f>
        <v>15.227</v>
      </c>
      <c r="L74" s="14" t="n">
        <f aca="false">IF(I74=0,"",100*J74/I74)</f>
        <v>4.92038713705901</v>
      </c>
      <c r="M74" s="12" t="n">
        <v>17.337</v>
      </c>
      <c r="N74" s="12" t="n">
        <v>0.841</v>
      </c>
      <c r="O74" s="15" t="n">
        <v>0.9237</v>
      </c>
      <c r="P74" s="15" t="n">
        <v>0.9364</v>
      </c>
      <c r="Q74" s="11"/>
    </row>
    <row r="75" customFormat="false" ht="15" hidden="false" customHeight="false" outlineLevel="0" collapsed="false">
      <c r="A75" s="7" t="str">
        <f aca="false">D75&amp;"-"&amp;TEXT(E75,"00")&amp;"-"&amp;H75&amp;"-"&amp;B75</f>
        <v>ICL-04-100–200-dry</v>
      </c>
      <c r="B75" s="8" t="s">
        <v>67</v>
      </c>
      <c r="C75" s="8" t="s">
        <v>68</v>
      </c>
      <c r="D75" s="8" t="s">
        <v>44</v>
      </c>
      <c r="E75" s="8" t="n">
        <v>4</v>
      </c>
      <c r="F75" s="8" t="n">
        <v>100</v>
      </c>
      <c r="G75" s="8" t="n">
        <v>200</v>
      </c>
      <c r="H75" s="7" t="str">
        <f aca="false">F75&amp;"–"&amp;G75</f>
        <v>100–200</v>
      </c>
      <c r="I75" s="12" t="n">
        <v>11.843</v>
      </c>
      <c r="J75" s="12" t="n">
        <v>0.227</v>
      </c>
      <c r="K75" s="13" t="n">
        <f aca="false">I75-J75</f>
        <v>11.616</v>
      </c>
      <c r="L75" s="14" t="n">
        <f aca="false">IF(I75=0,"",100*J75/I75)</f>
        <v>1.91674406822596</v>
      </c>
      <c r="M75" s="12" t="n">
        <v>12.424</v>
      </c>
      <c r="N75" s="12" t="n">
        <v>0.244</v>
      </c>
      <c r="O75" s="15" t="n">
        <v>0.9532</v>
      </c>
      <c r="P75" s="15" t="n">
        <v>0.9309</v>
      </c>
      <c r="Q75" s="11"/>
    </row>
    <row r="76" customFormat="false" ht="15" hidden="false" customHeight="false" outlineLevel="0" collapsed="false">
      <c r="A76" s="7" t="str">
        <f aca="false">D76&amp;"-"&amp;TEXT(E76,"00")&amp;"-"&amp;H76&amp;"-"&amp;B76</f>
        <v>ICL-04-200–300-dry</v>
      </c>
      <c r="B76" s="8" t="s">
        <v>67</v>
      </c>
      <c r="C76" s="8" t="s">
        <v>68</v>
      </c>
      <c r="D76" s="8" t="s">
        <v>44</v>
      </c>
      <c r="E76" s="8" t="n">
        <v>4</v>
      </c>
      <c r="F76" s="8" t="n">
        <v>200</v>
      </c>
      <c r="G76" s="8" t="n">
        <v>300</v>
      </c>
      <c r="H76" s="7" t="str">
        <f aca="false">F76&amp;"–"&amp;G76</f>
        <v>200–300</v>
      </c>
      <c r="I76" s="12" t="n">
        <v>9.904</v>
      </c>
      <c r="J76" s="12" t="n">
        <v>0.544</v>
      </c>
      <c r="K76" s="13" t="n">
        <f aca="false">I76-J76</f>
        <v>9.36</v>
      </c>
      <c r="L76" s="14" t="n">
        <f aca="false">IF(I76=0,"",100*J76/I76)</f>
        <v>5.49273021001616</v>
      </c>
      <c r="M76" s="12" t="n">
        <v>10.473</v>
      </c>
      <c r="N76" s="12" t="n">
        <v>0.577</v>
      </c>
      <c r="O76" s="15" t="n">
        <v>0.9457</v>
      </c>
      <c r="P76" s="15" t="n">
        <v>0.9438</v>
      </c>
      <c r="Q76" s="11"/>
    </row>
    <row r="77" customFormat="false" ht="15" hidden="false" customHeight="false" outlineLevel="0" collapsed="false">
      <c r="A77" s="7" t="str">
        <f aca="false">D77&amp;"-"&amp;TEXT(E77,"00")&amp;"-"&amp;H77&amp;"-"&amp;B77</f>
        <v>ICL-05-0–100-dry</v>
      </c>
      <c r="B77" s="8" t="s">
        <v>67</v>
      </c>
      <c r="C77" s="8" t="s">
        <v>68</v>
      </c>
      <c r="D77" s="8" t="s">
        <v>44</v>
      </c>
      <c r="E77" s="8" t="n">
        <v>5</v>
      </c>
      <c r="F77" s="8" t="n">
        <v>0</v>
      </c>
      <c r="G77" s="8" t="n">
        <v>100</v>
      </c>
      <c r="H77" s="7" t="str">
        <f aca="false">F77&amp;"–"&amp;G77</f>
        <v>0–100</v>
      </c>
      <c r="I77" s="12" t="n">
        <v>10.625</v>
      </c>
      <c r="J77" s="12" t="n">
        <v>0.625</v>
      </c>
      <c r="K77" s="13" t="n">
        <f aca="false">I77-J77</f>
        <v>10</v>
      </c>
      <c r="L77" s="14" t="n">
        <f aca="false">IF(I77=0,"",100*J77/I77)</f>
        <v>5.88235294117647</v>
      </c>
      <c r="M77" s="12" t="n">
        <v>11.502</v>
      </c>
      <c r="N77" s="12" t="n">
        <v>0.667</v>
      </c>
      <c r="O77" s="15" t="n">
        <v>0.9237</v>
      </c>
      <c r="P77" s="15" t="n">
        <v>0.9364</v>
      </c>
      <c r="Q77" s="11"/>
    </row>
    <row r="78" customFormat="false" ht="15" hidden="false" customHeight="false" outlineLevel="0" collapsed="false">
      <c r="A78" s="7" t="str">
        <f aca="false">D78&amp;"-"&amp;TEXT(E78,"00")&amp;"-"&amp;H78&amp;"-"&amp;B78</f>
        <v>ICL-05-100–200-dry</v>
      </c>
      <c r="B78" s="8" t="s">
        <v>67</v>
      </c>
      <c r="C78" s="8" t="s">
        <v>68</v>
      </c>
      <c r="D78" s="8" t="s">
        <v>44</v>
      </c>
      <c r="E78" s="8" t="n">
        <v>5</v>
      </c>
      <c r="F78" s="8" t="n">
        <v>100</v>
      </c>
      <c r="G78" s="8" t="n">
        <v>200</v>
      </c>
      <c r="H78" s="7" t="str">
        <f aca="false">F78&amp;"–"&amp;G78</f>
        <v>100–200</v>
      </c>
      <c r="I78" s="12" t="n">
        <v>8.71</v>
      </c>
      <c r="J78" s="12" t="n">
        <v>0.143</v>
      </c>
      <c r="K78" s="13" t="n">
        <f aca="false">I78-J78</f>
        <v>8.567</v>
      </c>
      <c r="L78" s="14" t="n">
        <f aca="false">IF(I78=0,"",100*J78/I78)</f>
        <v>1.64179104477612</v>
      </c>
      <c r="M78" s="12" t="n">
        <v>9.138</v>
      </c>
      <c r="N78" s="12" t="n">
        <v>0.154</v>
      </c>
      <c r="O78" s="15" t="n">
        <v>0.9532</v>
      </c>
      <c r="P78" s="15" t="n">
        <v>0.9309</v>
      </c>
      <c r="Q78" s="11"/>
    </row>
    <row r="79" customFormat="false" ht="15" hidden="false" customHeight="false" outlineLevel="0" collapsed="false">
      <c r="A79" s="7" t="str">
        <f aca="false">D79&amp;"-"&amp;TEXT(E79,"00")&amp;"-"&amp;H79&amp;"-"&amp;B79</f>
        <v>ICL-05-200–300-dry</v>
      </c>
      <c r="B79" s="8" t="s">
        <v>67</v>
      </c>
      <c r="C79" s="8" t="s">
        <v>68</v>
      </c>
      <c r="D79" s="8" t="s">
        <v>44</v>
      </c>
      <c r="E79" s="8" t="n">
        <v>5</v>
      </c>
      <c r="F79" s="8" t="n">
        <v>200</v>
      </c>
      <c r="G79" s="8" t="n">
        <v>300</v>
      </c>
      <c r="H79" s="7" t="str">
        <f aca="false">F79&amp;"–"&amp;G79</f>
        <v>200–300</v>
      </c>
      <c r="I79" s="12" t="n">
        <v>8.712</v>
      </c>
      <c r="J79" s="12" t="n">
        <v>0.483</v>
      </c>
      <c r="K79" s="13" t="n">
        <f aca="false">I79-J79</f>
        <v>8.229</v>
      </c>
      <c r="L79" s="14" t="n">
        <f aca="false">IF(I79=0,"",100*J79/I79)</f>
        <v>5.54407713498623</v>
      </c>
      <c r="M79" s="12" t="n">
        <v>9.212</v>
      </c>
      <c r="N79" s="12" t="n">
        <v>0.512</v>
      </c>
      <c r="O79" s="15" t="n">
        <v>0.9457</v>
      </c>
      <c r="P79" s="15" t="n">
        <v>0.9438</v>
      </c>
      <c r="Q79" s="11"/>
    </row>
    <row r="80" customFormat="false" ht="15" hidden="false" customHeight="false" outlineLevel="0" collapsed="false">
      <c r="A80" s="7" t="str">
        <f aca="false">D80&amp;"-"&amp;TEXT(E80,"00")&amp;"-"&amp;H80&amp;"-"&amp;B80</f>
        <v>ICL-06-0–100-dry</v>
      </c>
      <c r="B80" s="8" t="s">
        <v>67</v>
      </c>
      <c r="C80" s="8" t="s">
        <v>68</v>
      </c>
      <c r="D80" s="8" t="s">
        <v>44</v>
      </c>
      <c r="E80" s="8" t="n">
        <v>6</v>
      </c>
      <c r="F80" s="8" t="n">
        <v>0</v>
      </c>
      <c r="G80" s="8" t="n">
        <v>100</v>
      </c>
      <c r="H80" s="7" t="str">
        <f aca="false">F80&amp;"–"&amp;G80</f>
        <v>0–100</v>
      </c>
      <c r="I80" s="12" t="n">
        <v>15.968</v>
      </c>
      <c r="J80" s="12" t="n">
        <v>2.069</v>
      </c>
      <c r="K80" s="13" t="n">
        <f aca="false">I80-J80</f>
        <v>13.899</v>
      </c>
      <c r="L80" s="14" t="n">
        <f aca="false">IF(I80=0,"",100*J80/I80)</f>
        <v>12.9571643286573</v>
      </c>
      <c r="M80" s="12" t="n">
        <v>17.286</v>
      </c>
      <c r="N80" s="12" t="n">
        <v>2.209</v>
      </c>
      <c r="O80" s="15" t="n">
        <v>0.9237</v>
      </c>
      <c r="P80" s="15" t="n">
        <v>0.9364</v>
      </c>
      <c r="Q80" s="11" t="s">
        <v>70</v>
      </c>
    </row>
    <row r="81" customFormat="false" ht="15" hidden="false" customHeight="false" outlineLevel="0" collapsed="false">
      <c r="A81" s="7" t="str">
        <f aca="false">D81&amp;"-"&amp;TEXT(E81,"00")&amp;"-"&amp;H81&amp;"-"&amp;B81</f>
        <v>ICL-06-100–200-dry</v>
      </c>
      <c r="B81" s="8" t="s">
        <v>67</v>
      </c>
      <c r="C81" s="8" t="s">
        <v>68</v>
      </c>
      <c r="D81" s="8" t="s">
        <v>44</v>
      </c>
      <c r="E81" s="8" t="n">
        <v>6</v>
      </c>
      <c r="F81" s="8" t="n">
        <v>100</v>
      </c>
      <c r="G81" s="8" t="n">
        <v>200</v>
      </c>
      <c r="H81" s="7" t="str">
        <f aca="false">F81&amp;"–"&amp;G81</f>
        <v>100–200</v>
      </c>
      <c r="I81" s="12" t="n">
        <v>14.35</v>
      </c>
      <c r="J81" s="12" t="n">
        <v>0.258</v>
      </c>
      <c r="K81" s="13" t="n">
        <f aca="false">I81-J81</f>
        <v>14.092</v>
      </c>
      <c r="L81" s="14" t="n">
        <f aca="false">IF(I81=0,"",100*J81/I81)</f>
        <v>1.79790940766551</v>
      </c>
      <c r="M81" s="12" t="n">
        <v>15.054</v>
      </c>
      <c r="N81" s="12" t="n">
        <v>0.277</v>
      </c>
      <c r="O81" s="15" t="n">
        <v>0.9532</v>
      </c>
      <c r="P81" s="15" t="n">
        <v>0.9309</v>
      </c>
      <c r="Q81" s="11"/>
    </row>
    <row r="82" customFormat="false" ht="15" hidden="false" customHeight="false" outlineLevel="0" collapsed="false">
      <c r="A82" s="7" t="str">
        <f aca="false">D82&amp;"-"&amp;TEXT(E82,"00")&amp;"-"&amp;H82&amp;"-"&amp;B82</f>
        <v>ICL-06-200–300-dry</v>
      </c>
      <c r="B82" s="8" t="s">
        <v>67</v>
      </c>
      <c r="C82" s="8" t="s">
        <v>68</v>
      </c>
      <c r="D82" s="8" t="s">
        <v>44</v>
      </c>
      <c r="E82" s="8" t="n">
        <v>6</v>
      </c>
      <c r="F82" s="8" t="n">
        <v>200</v>
      </c>
      <c r="G82" s="8" t="n">
        <v>300</v>
      </c>
      <c r="H82" s="7" t="str">
        <f aca="false">F82&amp;"–"&amp;G82</f>
        <v>200–300</v>
      </c>
      <c r="I82" s="12" t="n">
        <v>12.85</v>
      </c>
      <c r="J82" s="12" t="n">
        <v>0.453</v>
      </c>
      <c r="K82" s="13" t="n">
        <f aca="false">I82-J82</f>
        <v>12.397</v>
      </c>
      <c r="L82" s="14" t="n">
        <f aca="false">IF(I82=0,"",100*J82/I82)</f>
        <v>3.52529182879377</v>
      </c>
      <c r="M82" s="12" t="n">
        <v>13.589</v>
      </c>
      <c r="N82" s="12" t="n">
        <v>0.48</v>
      </c>
      <c r="O82" s="15" t="n">
        <v>0.9457</v>
      </c>
      <c r="P82" s="15" t="n">
        <v>0.9438</v>
      </c>
      <c r="Q82" s="11"/>
    </row>
    <row r="83" customFormat="false" ht="15" hidden="false" customHeight="false" outlineLevel="0" collapsed="false">
      <c r="A83" s="7" t="str">
        <f aca="false">D83&amp;"-"&amp;TEXT(E83,"00")&amp;"-"&amp;H83&amp;"-"&amp;B83</f>
        <v>ICL-07-0–100-dry</v>
      </c>
      <c r="B83" s="8" t="s">
        <v>67</v>
      </c>
      <c r="C83" s="8" t="s">
        <v>68</v>
      </c>
      <c r="D83" s="8" t="s">
        <v>44</v>
      </c>
      <c r="E83" s="8" t="n">
        <v>7</v>
      </c>
      <c r="F83" s="8" t="n">
        <v>0</v>
      </c>
      <c r="G83" s="8" t="n">
        <v>100</v>
      </c>
      <c r="H83" s="7" t="str">
        <f aca="false">F83&amp;"–"&amp;G83</f>
        <v>0–100</v>
      </c>
      <c r="I83" s="12" t="n">
        <v>17.054</v>
      </c>
      <c r="J83" s="12" t="n">
        <v>2.186</v>
      </c>
      <c r="K83" s="13" t="n">
        <f aca="false">I83-J83</f>
        <v>14.868</v>
      </c>
      <c r="L83" s="14" t="n">
        <f aca="false">IF(I83=0,"",100*J83/I83)</f>
        <v>12.8181071889293</v>
      </c>
      <c r="M83" s="12" t="n">
        <v>18.462</v>
      </c>
      <c r="N83" s="12" t="n">
        <v>2.334</v>
      </c>
      <c r="O83" s="15" t="n">
        <v>0.9237</v>
      </c>
      <c r="P83" s="15" t="n">
        <v>0.9364</v>
      </c>
      <c r="Q83" s="11" t="s">
        <v>70</v>
      </c>
    </row>
    <row r="84" customFormat="false" ht="15" hidden="false" customHeight="false" outlineLevel="0" collapsed="false">
      <c r="A84" s="7" t="str">
        <f aca="false">D84&amp;"-"&amp;TEXT(E84,"00")&amp;"-"&amp;H84&amp;"-"&amp;B84</f>
        <v>ICL-07-100–200-dry</v>
      </c>
      <c r="B84" s="8" t="s">
        <v>67</v>
      </c>
      <c r="C84" s="8" t="s">
        <v>68</v>
      </c>
      <c r="D84" s="8" t="s">
        <v>44</v>
      </c>
      <c r="E84" s="8" t="n">
        <v>7</v>
      </c>
      <c r="F84" s="8" t="n">
        <v>100</v>
      </c>
      <c r="G84" s="8" t="n">
        <v>200</v>
      </c>
      <c r="H84" s="7" t="str">
        <f aca="false">F84&amp;"–"&amp;G84</f>
        <v>100–200</v>
      </c>
      <c r="I84" s="12" t="n">
        <v>14.124</v>
      </c>
      <c r="J84" s="12" t="n">
        <v>0.374</v>
      </c>
      <c r="K84" s="13" t="n">
        <f aca="false">I84-J84</f>
        <v>13.75</v>
      </c>
      <c r="L84" s="14" t="n">
        <f aca="false">IF(I84=0,"",100*J84/I84)</f>
        <v>2.64797507788162</v>
      </c>
      <c r="M84" s="12" t="n">
        <v>14.818</v>
      </c>
      <c r="N84" s="12" t="n">
        <v>0.402</v>
      </c>
      <c r="O84" s="15" t="n">
        <v>0.9532</v>
      </c>
      <c r="P84" s="15" t="n">
        <v>0.9309</v>
      </c>
      <c r="Q84" s="11"/>
    </row>
    <row r="85" customFormat="false" ht="15" hidden="false" customHeight="false" outlineLevel="0" collapsed="false">
      <c r="A85" s="7" t="str">
        <f aca="false">D85&amp;"-"&amp;TEXT(E85,"00")&amp;"-"&amp;H85&amp;"-"&amp;B85</f>
        <v>ICL-07-200–300-dry</v>
      </c>
      <c r="B85" s="8" t="s">
        <v>67</v>
      </c>
      <c r="C85" s="8" t="s">
        <v>68</v>
      </c>
      <c r="D85" s="8" t="s">
        <v>44</v>
      </c>
      <c r="E85" s="8" t="n">
        <v>7</v>
      </c>
      <c r="F85" s="8" t="n">
        <v>200</v>
      </c>
      <c r="G85" s="8" t="n">
        <v>300</v>
      </c>
      <c r="H85" s="7" t="str">
        <f aca="false">F85&amp;"–"&amp;G85</f>
        <v>200–300</v>
      </c>
      <c r="I85" s="12" t="n">
        <v>11.604</v>
      </c>
      <c r="J85" s="12" t="n">
        <v>0.512</v>
      </c>
      <c r="K85" s="13" t="n">
        <f aca="false">I85-J85</f>
        <v>11.092</v>
      </c>
      <c r="L85" s="14" t="n">
        <f aca="false">IF(I85=0,"",100*J85/I85)</f>
        <v>4.41227163047225</v>
      </c>
      <c r="M85" s="12" t="n">
        <v>12.271</v>
      </c>
      <c r="N85" s="12" t="n">
        <v>0.543</v>
      </c>
      <c r="O85" s="15" t="n">
        <v>0.9457</v>
      </c>
      <c r="P85" s="15" t="n">
        <v>0.9438</v>
      </c>
      <c r="Q85" s="11"/>
    </row>
    <row r="86" customFormat="false" ht="15" hidden="false" customHeight="false" outlineLevel="0" collapsed="false">
      <c r="A86" s="7" t="str">
        <f aca="false">D86&amp;"-"&amp;TEXT(E86,"00")&amp;"-"&amp;H86&amp;"-"&amp;B86</f>
        <v>ICL-08-0–100-dry</v>
      </c>
      <c r="B86" s="8" t="s">
        <v>67</v>
      </c>
      <c r="C86" s="8" t="s">
        <v>68</v>
      </c>
      <c r="D86" s="8" t="s">
        <v>44</v>
      </c>
      <c r="E86" s="8" t="n">
        <v>8</v>
      </c>
      <c r="F86" s="8" t="n">
        <v>0</v>
      </c>
      <c r="G86" s="8" t="n">
        <v>100</v>
      </c>
      <c r="H86" s="7" t="str">
        <f aca="false">F86&amp;"–"&amp;G86</f>
        <v>0–100</v>
      </c>
      <c r="I86" s="12" t="n">
        <v>15.951</v>
      </c>
      <c r="J86" s="12" t="n">
        <v>2.098</v>
      </c>
      <c r="K86" s="13" t="n">
        <f aca="false">I86-J86</f>
        <v>13.853</v>
      </c>
      <c r="L86" s="14" t="n">
        <f aca="false">IF(I86=0,"",100*J86/I86)</f>
        <v>13.1527803899442</v>
      </c>
      <c r="M86" s="12" t="n">
        <v>17.267</v>
      </c>
      <c r="N86" s="12" t="n">
        <v>2.241</v>
      </c>
      <c r="O86" s="15" t="n">
        <v>0.9237</v>
      </c>
      <c r="P86" s="15" t="n">
        <v>0.9364</v>
      </c>
      <c r="Q86" s="11" t="s">
        <v>70</v>
      </c>
    </row>
    <row r="87" customFormat="false" ht="15" hidden="false" customHeight="false" outlineLevel="0" collapsed="false">
      <c r="A87" s="7" t="str">
        <f aca="false">D87&amp;"-"&amp;TEXT(E87,"00")&amp;"-"&amp;H87&amp;"-"&amp;B87</f>
        <v>ICL-08-100–200-dry</v>
      </c>
      <c r="B87" s="8" t="s">
        <v>67</v>
      </c>
      <c r="C87" s="8" t="s">
        <v>68</v>
      </c>
      <c r="D87" s="8" t="s">
        <v>44</v>
      </c>
      <c r="E87" s="8" t="n">
        <v>8</v>
      </c>
      <c r="F87" s="8" t="n">
        <v>100</v>
      </c>
      <c r="G87" s="8" t="n">
        <v>200</v>
      </c>
      <c r="H87" s="7" t="str">
        <f aca="false">F87&amp;"–"&amp;G87</f>
        <v>100–200</v>
      </c>
      <c r="I87" s="12" t="n">
        <v>13.642</v>
      </c>
      <c r="J87" s="12" t="n">
        <v>0.343</v>
      </c>
      <c r="K87" s="13" t="n">
        <f aca="false">I87-J87</f>
        <v>13.299</v>
      </c>
      <c r="L87" s="14" t="n">
        <f aca="false">IF(I87=0,"",100*J87/I87)</f>
        <v>2.5142940917754</v>
      </c>
      <c r="M87" s="12" t="n">
        <v>14.312</v>
      </c>
      <c r="N87" s="12" t="n">
        <v>0.369</v>
      </c>
      <c r="O87" s="15" t="n">
        <v>0.9532</v>
      </c>
      <c r="P87" s="15" t="n">
        <v>0.9309</v>
      </c>
      <c r="Q87" s="11"/>
    </row>
    <row r="88" customFormat="false" ht="15" hidden="false" customHeight="false" outlineLevel="0" collapsed="false">
      <c r="A88" s="7" t="str">
        <f aca="false">D88&amp;"-"&amp;TEXT(E88,"00")&amp;"-"&amp;H88&amp;"-"&amp;B88</f>
        <v>ICL-08-200–300-dry</v>
      </c>
      <c r="B88" s="8" t="s">
        <v>67</v>
      </c>
      <c r="C88" s="8" t="s">
        <v>68</v>
      </c>
      <c r="D88" s="8" t="s">
        <v>44</v>
      </c>
      <c r="E88" s="8" t="n">
        <v>8</v>
      </c>
      <c r="F88" s="8" t="n">
        <v>200</v>
      </c>
      <c r="G88" s="8" t="n">
        <v>300</v>
      </c>
      <c r="H88" s="7" t="str">
        <f aca="false">F88&amp;"–"&amp;G88</f>
        <v>200–300</v>
      </c>
      <c r="I88" s="12" t="n">
        <v>12.198</v>
      </c>
      <c r="J88" s="12" t="n">
        <v>0.192</v>
      </c>
      <c r="K88" s="13" t="n">
        <f aca="false">I88-J88</f>
        <v>12.006</v>
      </c>
      <c r="L88" s="14" t="n">
        <f aca="false">IF(I88=0,"",100*J88/I88)</f>
        <v>1.57402852926709</v>
      </c>
      <c r="M88" s="12" t="n">
        <v>12.899</v>
      </c>
      <c r="N88" s="12" t="n">
        <v>0.203</v>
      </c>
      <c r="O88" s="15" t="n">
        <v>0.9457</v>
      </c>
      <c r="P88" s="15" t="n">
        <v>0.9438</v>
      </c>
      <c r="Q88" s="11"/>
    </row>
    <row r="89" customFormat="false" ht="15" hidden="false" customHeight="false" outlineLevel="0" collapsed="false">
      <c r="A89" s="7" t="str">
        <f aca="false">D89&amp;"-"&amp;TEXT(E89,"00")&amp;"-"&amp;H89&amp;"-"&amp;B89</f>
        <v>ICL-09-0–100-dry</v>
      </c>
      <c r="B89" s="8" t="s">
        <v>67</v>
      </c>
      <c r="C89" s="8" t="s">
        <v>68</v>
      </c>
      <c r="D89" s="8" t="s">
        <v>44</v>
      </c>
      <c r="E89" s="8" t="n">
        <v>9</v>
      </c>
      <c r="F89" s="8" t="n">
        <v>0</v>
      </c>
      <c r="G89" s="8" t="n">
        <v>100</v>
      </c>
      <c r="H89" s="7" t="str">
        <f aca="false">F89&amp;"–"&amp;G89</f>
        <v>0–100</v>
      </c>
      <c r="I89" s="12" t="n">
        <v>18.669</v>
      </c>
      <c r="J89" s="12" t="n">
        <v>2.046</v>
      </c>
      <c r="K89" s="13" t="n">
        <f aca="false">I89-J89</f>
        <v>16.623</v>
      </c>
      <c r="L89" s="14" t="n">
        <f aca="false">IF(I89=0,"",100*J89/I89)</f>
        <v>10.9593443676683</v>
      </c>
      <c r="M89" s="12" t="n">
        <v>20.21</v>
      </c>
      <c r="N89" s="12" t="n">
        <v>2.185</v>
      </c>
      <c r="O89" s="15" t="n">
        <v>0.9237</v>
      </c>
      <c r="P89" s="15" t="n">
        <v>0.9364</v>
      </c>
      <c r="Q89" s="11" t="s">
        <v>70</v>
      </c>
    </row>
    <row r="90" customFormat="false" ht="15" hidden="false" customHeight="false" outlineLevel="0" collapsed="false">
      <c r="A90" s="7" t="str">
        <f aca="false">D90&amp;"-"&amp;TEXT(E90,"00")&amp;"-"&amp;H90&amp;"-"&amp;B90</f>
        <v>ICL-09-100–200-dry</v>
      </c>
      <c r="B90" s="8" t="s">
        <v>67</v>
      </c>
      <c r="C90" s="8" t="s">
        <v>68</v>
      </c>
      <c r="D90" s="8" t="s">
        <v>44</v>
      </c>
      <c r="E90" s="8" t="n">
        <v>9</v>
      </c>
      <c r="F90" s="8" t="n">
        <v>100</v>
      </c>
      <c r="G90" s="8" t="n">
        <v>200</v>
      </c>
      <c r="H90" s="7" t="str">
        <f aca="false">F90&amp;"–"&amp;G90</f>
        <v>100–200</v>
      </c>
      <c r="I90" s="12" t="n">
        <v>12.784</v>
      </c>
      <c r="J90" s="12" t="n">
        <v>0.488</v>
      </c>
      <c r="K90" s="13" t="n">
        <f aca="false">I90-J90</f>
        <v>12.296</v>
      </c>
      <c r="L90" s="14" t="n">
        <f aca="false">IF(I90=0,"",100*J90/I90)</f>
        <v>3.81727158948686</v>
      </c>
      <c r="M90" s="12" t="n">
        <v>13.411</v>
      </c>
      <c r="N90" s="12" t="n">
        <v>0.525</v>
      </c>
      <c r="O90" s="15" t="n">
        <v>0.9532</v>
      </c>
      <c r="P90" s="15" t="n">
        <v>0.9309</v>
      </c>
      <c r="Q90" s="11"/>
    </row>
    <row r="91" customFormat="false" ht="15" hidden="false" customHeight="false" outlineLevel="0" collapsed="false">
      <c r="A91" s="7" t="str">
        <f aca="false">D91&amp;"-"&amp;TEXT(E91,"00")&amp;"-"&amp;H91&amp;"-"&amp;B91</f>
        <v>ICL-09-200–300-dry</v>
      </c>
      <c r="B91" s="8" t="s">
        <v>67</v>
      </c>
      <c r="C91" s="8" t="s">
        <v>68</v>
      </c>
      <c r="D91" s="8" t="s">
        <v>44</v>
      </c>
      <c r="E91" s="8" t="n">
        <v>9</v>
      </c>
      <c r="F91" s="8" t="n">
        <v>200</v>
      </c>
      <c r="G91" s="8" t="n">
        <v>300</v>
      </c>
      <c r="H91" s="7" t="str">
        <f aca="false">F91&amp;"–"&amp;G91</f>
        <v>200–300</v>
      </c>
      <c r="I91" s="12" t="n">
        <v>11.694</v>
      </c>
      <c r="J91" s="12" t="n">
        <v>0.102</v>
      </c>
      <c r="K91" s="13" t="n">
        <f aca="false">I91-J91</f>
        <v>11.592</v>
      </c>
      <c r="L91" s="14" t="n">
        <f aca="false">IF(I91=0,"",100*J91/I91)</f>
        <v>0.872242175474602</v>
      </c>
      <c r="M91" s="12" t="n">
        <v>12.366</v>
      </c>
      <c r="N91" s="12" t="n">
        <v>0.108</v>
      </c>
      <c r="O91" s="15" t="n">
        <v>0.9457</v>
      </c>
      <c r="P91" s="15" t="n">
        <v>0.9438</v>
      </c>
      <c r="Q91" s="11"/>
    </row>
    <row r="92" customFormat="false" ht="15" hidden="false" customHeight="false" outlineLevel="0" collapsed="false">
      <c r="A92" s="7" t="str">
        <f aca="false">D92&amp;"-"&amp;TEXT(E92,"00")&amp;"-"&amp;H92&amp;"-"&amp;B92</f>
        <v>ICL-10-0–100-dry</v>
      </c>
      <c r="B92" s="8" t="s">
        <v>67</v>
      </c>
      <c r="C92" s="8" t="s">
        <v>68</v>
      </c>
      <c r="D92" s="8" t="s">
        <v>44</v>
      </c>
      <c r="E92" s="8" t="n">
        <v>10</v>
      </c>
      <c r="F92" s="8" t="n">
        <v>0</v>
      </c>
      <c r="G92" s="8" t="n">
        <v>100</v>
      </c>
      <c r="H92" s="7" t="str">
        <f aca="false">F92&amp;"–"&amp;G92</f>
        <v>0–100</v>
      </c>
      <c r="I92" s="12" t="n">
        <v>14.344</v>
      </c>
      <c r="J92" s="12" t="n">
        <v>0.655</v>
      </c>
      <c r="K92" s="13" t="n">
        <f aca="false">I92-J92</f>
        <v>13.689</v>
      </c>
      <c r="L92" s="14" t="n">
        <f aca="false">IF(I92=0,"",100*J92/I92)</f>
        <v>4.56636921360848</v>
      </c>
      <c r="M92" s="12" t="n">
        <v>15.528</v>
      </c>
      <c r="N92" s="12" t="n">
        <v>0.699</v>
      </c>
      <c r="O92" s="15" t="n">
        <v>0.9237</v>
      </c>
      <c r="P92" s="15" t="n">
        <v>0.9364</v>
      </c>
      <c r="Q92" s="11"/>
    </row>
    <row r="93" customFormat="false" ht="15" hidden="false" customHeight="false" outlineLevel="0" collapsed="false">
      <c r="A93" s="7" t="str">
        <f aca="false">D93&amp;"-"&amp;TEXT(E93,"00")&amp;"-"&amp;H93&amp;"-"&amp;B93</f>
        <v>ICL-10-100–200-dry</v>
      </c>
      <c r="B93" s="8" t="s">
        <v>67</v>
      </c>
      <c r="C93" s="8" t="s">
        <v>68</v>
      </c>
      <c r="D93" s="8" t="s">
        <v>44</v>
      </c>
      <c r="E93" s="8" t="n">
        <v>10</v>
      </c>
      <c r="F93" s="8" t="n">
        <v>100</v>
      </c>
      <c r="G93" s="8" t="n">
        <v>200</v>
      </c>
      <c r="H93" s="7" t="str">
        <f aca="false">F93&amp;"–"&amp;G93</f>
        <v>100–200</v>
      </c>
      <c r="I93" s="12" t="n">
        <v>10.568</v>
      </c>
      <c r="J93" s="12" t="n">
        <v>0.429</v>
      </c>
      <c r="K93" s="13" t="n">
        <f aca="false">I93-J93</f>
        <v>10.139</v>
      </c>
      <c r="L93" s="14" t="n">
        <f aca="false">IF(I93=0,"",100*J93/I93)</f>
        <v>4.05942467827404</v>
      </c>
      <c r="M93" s="12" t="n">
        <v>11.087</v>
      </c>
      <c r="N93" s="12" t="n">
        <v>0.46</v>
      </c>
      <c r="O93" s="15" t="n">
        <v>0.9532</v>
      </c>
      <c r="P93" s="15" t="n">
        <v>0.9309</v>
      </c>
      <c r="Q93" s="11"/>
    </row>
    <row r="94" customFormat="false" ht="15" hidden="false" customHeight="false" outlineLevel="0" collapsed="false">
      <c r="A94" s="7" t="str">
        <f aca="false">D94&amp;"-"&amp;TEXT(E94,"00")&amp;"-"&amp;H94&amp;"-"&amp;B94</f>
        <v>ICL-10-200–300-dry</v>
      </c>
      <c r="B94" s="8" t="s">
        <v>67</v>
      </c>
      <c r="C94" s="8" t="s">
        <v>68</v>
      </c>
      <c r="D94" s="8" t="s">
        <v>44</v>
      </c>
      <c r="E94" s="8" t="n">
        <v>10</v>
      </c>
      <c r="F94" s="8" t="n">
        <v>200</v>
      </c>
      <c r="G94" s="8" t="n">
        <v>300</v>
      </c>
      <c r="H94" s="7" t="str">
        <f aca="false">F94&amp;"–"&amp;G94</f>
        <v>200–300</v>
      </c>
      <c r="I94" s="12" t="n">
        <v>7.856</v>
      </c>
      <c r="J94" s="12" t="n">
        <v>0.424</v>
      </c>
      <c r="K94" s="13" t="n">
        <f aca="false">I94-J94</f>
        <v>7.432</v>
      </c>
      <c r="L94" s="14" t="n">
        <f aca="false">IF(I94=0,"",100*J94/I94)</f>
        <v>5.39714867617108</v>
      </c>
      <c r="M94" s="12" t="n">
        <v>8.308</v>
      </c>
      <c r="N94" s="12" t="n">
        <v>0.449</v>
      </c>
      <c r="O94" s="15" t="n">
        <v>0.9457</v>
      </c>
      <c r="P94" s="15" t="n">
        <v>0.9438</v>
      </c>
      <c r="Q94" s="11"/>
    </row>
    <row r="95" customFormat="false" ht="15" hidden="false" customHeight="false" outlineLevel="0" collapsed="false">
      <c r="A95" s="7" t="str">
        <f aca="false">D95&amp;"-"&amp;TEXT(E95,"00")&amp;"-"&amp;H95&amp;"-"&amp;B95</f>
        <v>ICL-11-0–100-dry</v>
      </c>
      <c r="B95" s="8" t="s">
        <v>67</v>
      </c>
      <c r="C95" s="8" t="s">
        <v>68</v>
      </c>
      <c r="D95" s="8" t="s">
        <v>44</v>
      </c>
      <c r="E95" s="8" t="n">
        <v>11</v>
      </c>
      <c r="F95" s="8" t="n">
        <v>0</v>
      </c>
      <c r="G95" s="8" t="n">
        <v>100</v>
      </c>
      <c r="H95" s="7" t="str">
        <f aca="false">F95&amp;"–"&amp;G95</f>
        <v>0–100</v>
      </c>
      <c r="I95" s="12" t="n">
        <v>16.553</v>
      </c>
      <c r="J95" s="12" t="n">
        <v>0.558</v>
      </c>
      <c r="K95" s="13" t="n">
        <f aca="false">I95-J95</f>
        <v>15.995</v>
      </c>
      <c r="L95" s="14" t="n">
        <f aca="false">IF(I95=0,"",100*J95/I95)</f>
        <v>3.37099015284239</v>
      </c>
      <c r="M95" s="12" t="n">
        <v>17.919</v>
      </c>
      <c r="N95" s="12" t="n">
        <v>0.596</v>
      </c>
      <c r="O95" s="15" t="n">
        <v>0.9237</v>
      </c>
      <c r="P95" s="15" t="n">
        <v>0.9364</v>
      </c>
      <c r="Q95" s="11"/>
    </row>
    <row r="96" customFormat="false" ht="15" hidden="false" customHeight="false" outlineLevel="0" collapsed="false">
      <c r="A96" s="7" t="str">
        <f aca="false">D96&amp;"-"&amp;TEXT(E96,"00")&amp;"-"&amp;H96&amp;"-"&amp;B96</f>
        <v>ICL-11-100–200-dry</v>
      </c>
      <c r="B96" s="8" t="s">
        <v>67</v>
      </c>
      <c r="C96" s="8" t="s">
        <v>68</v>
      </c>
      <c r="D96" s="8" t="s">
        <v>44</v>
      </c>
      <c r="E96" s="8" t="n">
        <v>11</v>
      </c>
      <c r="F96" s="8" t="n">
        <v>100</v>
      </c>
      <c r="G96" s="8" t="n">
        <v>200</v>
      </c>
      <c r="H96" s="7" t="str">
        <f aca="false">F96&amp;"–"&amp;G96</f>
        <v>100–200</v>
      </c>
      <c r="I96" s="12" t="n">
        <v>15.2</v>
      </c>
      <c r="J96" s="12" t="n">
        <v>0.339</v>
      </c>
      <c r="K96" s="13" t="n">
        <f aca="false">I96-J96</f>
        <v>14.861</v>
      </c>
      <c r="L96" s="14" t="n">
        <f aca="false">IF(I96=0,"",100*J96/I96)</f>
        <v>2.23026315789474</v>
      </c>
      <c r="M96" s="12" t="n">
        <v>15.947</v>
      </c>
      <c r="N96" s="12" t="n">
        <v>0.365</v>
      </c>
      <c r="O96" s="15" t="n">
        <v>0.9532</v>
      </c>
      <c r="P96" s="15" t="n">
        <v>0.9309</v>
      </c>
      <c r="Q96" s="11"/>
    </row>
    <row r="97" customFormat="false" ht="15" hidden="false" customHeight="false" outlineLevel="0" collapsed="false">
      <c r="A97" s="7" t="str">
        <f aca="false">D97&amp;"-"&amp;TEXT(E97,"00")&amp;"-"&amp;H97&amp;"-"&amp;B97</f>
        <v>ICL-11-200–300-dry</v>
      </c>
      <c r="B97" s="8" t="s">
        <v>67</v>
      </c>
      <c r="C97" s="8" t="s">
        <v>68</v>
      </c>
      <c r="D97" s="8" t="s">
        <v>44</v>
      </c>
      <c r="E97" s="8" t="n">
        <v>11</v>
      </c>
      <c r="F97" s="8" t="n">
        <v>200</v>
      </c>
      <c r="G97" s="8" t="n">
        <v>300</v>
      </c>
      <c r="H97" s="7" t="str">
        <f aca="false">F97&amp;"–"&amp;G97</f>
        <v>200–300</v>
      </c>
      <c r="I97" s="12" t="n">
        <v>14.911</v>
      </c>
      <c r="J97" s="12" t="n">
        <v>0.221</v>
      </c>
      <c r="K97" s="13" t="n">
        <f aca="false">I97-J97</f>
        <v>14.69</v>
      </c>
      <c r="L97" s="14" t="n">
        <f aca="false">IF(I97=0,"",100*J97/I97)</f>
        <v>1.4821272885789</v>
      </c>
      <c r="M97" s="12" t="n">
        <v>15.768</v>
      </c>
      <c r="N97" s="12" t="n">
        <v>0.234</v>
      </c>
      <c r="O97" s="15" t="n">
        <v>0.9457</v>
      </c>
      <c r="P97" s="15" t="n">
        <v>0.9438</v>
      </c>
      <c r="Q97" s="11"/>
    </row>
    <row r="98" customFormat="false" ht="15" hidden="false" customHeight="false" outlineLevel="0" collapsed="false">
      <c r="A98" s="7" t="str">
        <f aca="false">D98&amp;"-"&amp;TEXT(E98,"00")&amp;"-"&amp;H98&amp;"-"&amp;B98</f>
        <v>ICL-12-0–100-dry</v>
      </c>
      <c r="B98" s="8" t="s">
        <v>67</v>
      </c>
      <c r="C98" s="8" t="s">
        <v>68</v>
      </c>
      <c r="D98" s="8" t="s">
        <v>44</v>
      </c>
      <c r="E98" s="8" t="n">
        <v>12</v>
      </c>
      <c r="F98" s="8" t="n">
        <v>0</v>
      </c>
      <c r="G98" s="8" t="n">
        <v>100</v>
      </c>
      <c r="H98" s="7" t="str">
        <f aca="false">F98&amp;"–"&amp;G98</f>
        <v>0–100</v>
      </c>
      <c r="I98" s="12" t="n">
        <v>13.002</v>
      </c>
      <c r="J98" s="12" t="n">
        <v>0.679</v>
      </c>
      <c r="K98" s="13" t="n">
        <f aca="false">I98-J98</f>
        <v>12.323</v>
      </c>
      <c r="L98" s="14" t="n">
        <f aca="false">IF(I98=0,"",100*J98/I98)</f>
        <v>5.22227349638517</v>
      </c>
      <c r="M98" s="12" t="n">
        <v>14.075</v>
      </c>
      <c r="N98" s="12" t="n">
        <v>0.725</v>
      </c>
      <c r="O98" s="15" t="n">
        <v>0.9237</v>
      </c>
      <c r="P98" s="15" t="n">
        <v>0.9364</v>
      </c>
      <c r="Q98" s="11"/>
    </row>
    <row r="99" customFormat="false" ht="15" hidden="false" customHeight="false" outlineLevel="0" collapsed="false">
      <c r="A99" s="7" t="str">
        <f aca="false">D99&amp;"-"&amp;TEXT(E99,"00")&amp;"-"&amp;H99&amp;"-"&amp;B99</f>
        <v>ICL-12-100–200-dry</v>
      </c>
      <c r="B99" s="8" t="s">
        <v>67</v>
      </c>
      <c r="C99" s="8" t="s">
        <v>68</v>
      </c>
      <c r="D99" s="8" t="s">
        <v>44</v>
      </c>
      <c r="E99" s="8" t="n">
        <v>12</v>
      </c>
      <c r="F99" s="8" t="n">
        <v>100</v>
      </c>
      <c r="G99" s="8" t="n">
        <v>200</v>
      </c>
      <c r="H99" s="7" t="str">
        <f aca="false">F99&amp;"–"&amp;G99</f>
        <v>100–200</v>
      </c>
      <c r="I99" s="12" t="n">
        <v>10.319</v>
      </c>
      <c r="J99" s="12" t="n">
        <v>0.462</v>
      </c>
      <c r="K99" s="13" t="n">
        <f aca="false">I99-J99</f>
        <v>9.857</v>
      </c>
      <c r="L99" s="14" t="n">
        <f aca="false">IF(I99=0,"",100*J99/I99)</f>
        <v>4.47717802112608</v>
      </c>
      <c r="M99" s="12" t="n">
        <v>10.826</v>
      </c>
      <c r="N99" s="12" t="n">
        <v>0.497</v>
      </c>
      <c r="O99" s="15" t="n">
        <v>0.9532</v>
      </c>
      <c r="P99" s="15" t="n">
        <v>0.9309</v>
      </c>
      <c r="Q99" s="11"/>
    </row>
    <row r="100" customFormat="false" ht="15" hidden="false" customHeight="false" outlineLevel="0" collapsed="false">
      <c r="A100" s="7" t="str">
        <f aca="false">D100&amp;"-"&amp;TEXT(E100,"00")&amp;"-"&amp;H100&amp;"-"&amp;B100</f>
        <v>ICL-12-200–300-dry</v>
      </c>
      <c r="B100" s="8" t="s">
        <v>67</v>
      </c>
      <c r="C100" s="8" t="s">
        <v>68</v>
      </c>
      <c r="D100" s="8" t="s">
        <v>44</v>
      </c>
      <c r="E100" s="8" t="n">
        <v>12</v>
      </c>
      <c r="F100" s="8" t="n">
        <v>200</v>
      </c>
      <c r="G100" s="8" t="n">
        <v>300</v>
      </c>
      <c r="H100" s="7" t="str">
        <f aca="false">F100&amp;"–"&amp;G100</f>
        <v>200–300</v>
      </c>
      <c r="I100" s="12" t="n">
        <v>11.372</v>
      </c>
      <c r="J100" s="12" t="n">
        <v>0.393</v>
      </c>
      <c r="K100" s="13" t="n">
        <f aca="false">I100-J100</f>
        <v>10.979</v>
      </c>
      <c r="L100" s="14" t="n">
        <f aca="false">IF(I100=0,"",100*J100/I100)</f>
        <v>3.45585648962364</v>
      </c>
      <c r="M100" s="12" t="n">
        <v>12.025</v>
      </c>
      <c r="N100" s="12" t="n">
        <v>0.416</v>
      </c>
      <c r="O100" s="15" t="n">
        <v>0.9457</v>
      </c>
      <c r="P100" s="15" t="n">
        <v>0.9438</v>
      </c>
      <c r="Q100" s="11"/>
    </row>
    <row r="101" customFormat="false" ht="15" hidden="false" customHeight="false" outlineLevel="0" collapsed="false">
      <c r="A101" s="7" t="str">
        <f aca="false">D101&amp;"-"&amp;TEXT(E101,"00")&amp;"-"&amp;H101&amp;"-"&amp;B101</f>
        <v>ICL-13-0–100-dry</v>
      </c>
      <c r="B101" s="8" t="s">
        <v>67</v>
      </c>
      <c r="C101" s="8" t="s">
        <v>68</v>
      </c>
      <c r="D101" s="8" t="s">
        <v>44</v>
      </c>
      <c r="E101" s="8" t="n">
        <v>13</v>
      </c>
      <c r="F101" s="8" t="n">
        <v>0</v>
      </c>
      <c r="G101" s="8" t="n">
        <v>100</v>
      </c>
      <c r="H101" s="7" t="str">
        <f aca="false">F101&amp;"–"&amp;G101</f>
        <v>0–100</v>
      </c>
      <c r="I101" s="12" t="n">
        <v>14.994</v>
      </c>
      <c r="J101" s="12" t="n">
        <v>0.62</v>
      </c>
      <c r="K101" s="13" t="n">
        <f aca="false">I101-J101</f>
        <v>14.374</v>
      </c>
      <c r="L101" s="14" t="n">
        <f aca="false">IF(I101=0,"",100*J101/I101)</f>
        <v>4.13498732826464</v>
      </c>
      <c r="M101" s="12" t="n">
        <v>16.232</v>
      </c>
      <c r="N101" s="12" t="n">
        <v>0.662</v>
      </c>
      <c r="O101" s="15" t="n">
        <v>0.9237</v>
      </c>
      <c r="P101" s="15" t="n">
        <v>0.9364</v>
      </c>
      <c r="Q101" s="11"/>
    </row>
    <row r="102" customFormat="false" ht="15" hidden="false" customHeight="false" outlineLevel="0" collapsed="false">
      <c r="A102" s="7" t="str">
        <f aca="false">D102&amp;"-"&amp;TEXT(E102,"00")&amp;"-"&amp;H102&amp;"-"&amp;B102</f>
        <v>ICL-13-100–200-dry</v>
      </c>
      <c r="B102" s="8" t="s">
        <v>67</v>
      </c>
      <c r="C102" s="8" t="s">
        <v>68</v>
      </c>
      <c r="D102" s="8" t="s">
        <v>44</v>
      </c>
      <c r="E102" s="8" t="n">
        <v>13</v>
      </c>
      <c r="F102" s="8" t="n">
        <v>100</v>
      </c>
      <c r="G102" s="8" t="n">
        <v>200</v>
      </c>
      <c r="H102" s="7" t="str">
        <f aca="false">F102&amp;"–"&amp;G102</f>
        <v>100–200</v>
      </c>
      <c r="I102" s="12" t="n">
        <v>10.76</v>
      </c>
      <c r="J102" s="12" t="n">
        <v>0.144</v>
      </c>
      <c r="K102" s="13" t="n">
        <f aca="false">I102-J102</f>
        <v>10.616</v>
      </c>
      <c r="L102" s="14" t="n">
        <f aca="false">IF(I102=0,"",100*J102/I102)</f>
        <v>1.33828996282528</v>
      </c>
      <c r="M102" s="12" t="n">
        <v>11.289</v>
      </c>
      <c r="N102" s="12" t="n">
        <v>0.154</v>
      </c>
      <c r="O102" s="15" t="n">
        <v>0.9532</v>
      </c>
      <c r="P102" s="15" t="n">
        <v>0.9309</v>
      </c>
      <c r="Q102" s="11"/>
    </row>
    <row r="103" customFormat="false" ht="15" hidden="false" customHeight="false" outlineLevel="0" collapsed="false">
      <c r="A103" s="7" t="str">
        <f aca="false">D103&amp;"-"&amp;TEXT(E103,"00")&amp;"-"&amp;H103&amp;"-"&amp;B103</f>
        <v>ICL-13-200–300-dry</v>
      </c>
      <c r="B103" s="8" t="s">
        <v>67</v>
      </c>
      <c r="C103" s="8" t="s">
        <v>68</v>
      </c>
      <c r="D103" s="8" t="s">
        <v>44</v>
      </c>
      <c r="E103" s="8" t="n">
        <v>13</v>
      </c>
      <c r="F103" s="8" t="n">
        <v>200</v>
      </c>
      <c r="G103" s="8" t="n">
        <v>300</v>
      </c>
      <c r="H103" s="7" t="str">
        <f aca="false">F103&amp;"–"&amp;G103</f>
        <v>200–300</v>
      </c>
      <c r="I103" s="12" t="n">
        <v>9.557</v>
      </c>
      <c r="J103" s="12" t="n">
        <v>0.451</v>
      </c>
      <c r="K103" s="13" t="n">
        <f aca="false">I103-J103</f>
        <v>9.106</v>
      </c>
      <c r="L103" s="14" t="n">
        <f aca="false">IF(I103=0,"",100*J103/I103)</f>
        <v>4.71905409647379</v>
      </c>
      <c r="M103" s="12" t="n">
        <v>10.107</v>
      </c>
      <c r="N103" s="12" t="n">
        <v>0.477</v>
      </c>
      <c r="O103" s="15" t="n">
        <v>0.9457</v>
      </c>
      <c r="P103" s="15" t="n">
        <v>0.9438</v>
      </c>
      <c r="Q103" s="11"/>
    </row>
    <row r="104" customFormat="false" ht="15" hidden="false" customHeight="false" outlineLevel="0" collapsed="false">
      <c r="A104" s="7" t="str">
        <f aca="false">D104&amp;"-"&amp;TEXT(E104,"00")&amp;"-"&amp;H104&amp;"-"&amp;B104</f>
        <v>ICL-14-0–100-dry</v>
      </c>
      <c r="B104" s="8" t="s">
        <v>67</v>
      </c>
      <c r="C104" s="8" t="s">
        <v>68</v>
      </c>
      <c r="D104" s="8" t="s">
        <v>44</v>
      </c>
      <c r="E104" s="8" t="n">
        <v>14</v>
      </c>
      <c r="F104" s="8" t="n">
        <v>0</v>
      </c>
      <c r="G104" s="8" t="n">
        <v>100</v>
      </c>
      <c r="H104" s="7" t="str">
        <f aca="false">F104&amp;"–"&amp;G104</f>
        <v>0–100</v>
      </c>
      <c r="I104" s="12" t="n">
        <v>15.753</v>
      </c>
      <c r="J104" s="12" t="n">
        <v>0.567</v>
      </c>
      <c r="K104" s="13" t="n">
        <f aca="false">I104-J104</f>
        <v>15.186</v>
      </c>
      <c r="L104" s="14" t="n">
        <f aca="false">IF(I104=0,"",100*J104/I104)</f>
        <v>3.59931441630166</v>
      </c>
      <c r="M104" s="12" t="n">
        <v>17.053</v>
      </c>
      <c r="N104" s="12" t="n">
        <v>0.605</v>
      </c>
      <c r="O104" s="15" t="n">
        <v>0.9237</v>
      </c>
      <c r="P104" s="15" t="n">
        <v>0.9364</v>
      </c>
      <c r="Q104" s="11"/>
    </row>
    <row r="105" customFormat="false" ht="15" hidden="false" customHeight="false" outlineLevel="0" collapsed="false">
      <c r="A105" s="7" t="str">
        <f aca="false">D105&amp;"-"&amp;TEXT(E105,"00")&amp;"-"&amp;H105&amp;"-"&amp;B105</f>
        <v>ICL-14-100–200-dry</v>
      </c>
      <c r="B105" s="8" t="s">
        <v>67</v>
      </c>
      <c r="C105" s="8" t="s">
        <v>68</v>
      </c>
      <c r="D105" s="8" t="s">
        <v>44</v>
      </c>
      <c r="E105" s="8" t="n">
        <v>14</v>
      </c>
      <c r="F105" s="8" t="n">
        <v>100</v>
      </c>
      <c r="G105" s="8" t="n">
        <v>200</v>
      </c>
      <c r="H105" s="7" t="str">
        <f aca="false">F105&amp;"–"&amp;G105</f>
        <v>100–200</v>
      </c>
      <c r="I105" s="12" t="n">
        <v>12.018</v>
      </c>
      <c r="J105" s="12" t="n">
        <v>0.428</v>
      </c>
      <c r="K105" s="13" t="n">
        <f aca="false">I105-J105</f>
        <v>11.59</v>
      </c>
      <c r="L105" s="14" t="n">
        <f aca="false">IF(I105=0,"",100*J105/I105)</f>
        <v>3.5613246796472</v>
      </c>
      <c r="M105" s="12" t="n">
        <v>12.608</v>
      </c>
      <c r="N105" s="12" t="n">
        <v>0.459</v>
      </c>
      <c r="O105" s="15" t="n">
        <v>0.9532</v>
      </c>
      <c r="P105" s="15" t="n">
        <v>0.9309</v>
      </c>
      <c r="Q105" s="11"/>
    </row>
    <row r="106" customFormat="false" ht="15" hidden="false" customHeight="false" outlineLevel="0" collapsed="false">
      <c r="A106" s="7" t="str">
        <f aca="false">D106&amp;"-"&amp;TEXT(E106,"00")&amp;"-"&amp;H106&amp;"-"&amp;B106</f>
        <v>ICL-14-200–300-dry</v>
      </c>
      <c r="B106" s="8" t="s">
        <v>67</v>
      </c>
      <c r="C106" s="8" t="s">
        <v>68</v>
      </c>
      <c r="D106" s="8" t="s">
        <v>44</v>
      </c>
      <c r="E106" s="8" t="n">
        <v>14</v>
      </c>
      <c r="F106" s="8" t="n">
        <v>200</v>
      </c>
      <c r="G106" s="8" t="n">
        <v>300</v>
      </c>
      <c r="H106" s="7" t="str">
        <f aca="false">F106&amp;"–"&amp;G106</f>
        <v>200–300</v>
      </c>
      <c r="I106" s="12" t="n">
        <v>11.894</v>
      </c>
      <c r="J106" s="12" t="n">
        <v>0.368</v>
      </c>
      <c r="K106" s="13" t="n">
        <f aca="false">I106-J106</f>
        <v>11.526</v>
      </c>
      <c r="L106" s="14" t="n">
        <f aca="false">IF(I106=0,"",100*J106/I106)</f>
        <v>3.09399697326383</v>
      </c>
      <c r="M106" s="12" t="n">
        <v>12.577</v>
      </c>
      <c r="N106" s="12" t="n">
        <v>0.39</v>
      </c>
      <c r="O106" s="15" t="n">
        <v>0.9457</v>
      </c>
      <c r="P106" s="15" t="n">
        <v>0.9438</v>
      </c>
      <c r="Q106" s="11"/>
    </row>
    <row r="107" customFormat="false" ht="15" hidden="false" customHeight="false" outlineLevel="0" collapsed="false">
      <c r="A107" s="7" t="str">
        <f aca="false">D107&amp;"-"&amp;TEXT(E107,"00")&amp;"-"&amp;H107&amp;"-"&amp;B107</f>
        <v>ICL-15-0–100-dry</v>
      </c>
      <c r="B107" s="8" t="s">
        <v>67</v>
      </c>
      <c r="C107" s="8" t="s">
        <v>68</v>
      </c>
      <c r="D107" s="8" t="s">
        <v>44</v>
      </c>
      <c r="E107" s="8" t="n">
        <v>15</v>
      </c>
      <c r="F107" s="8" t="n">
        <v>0</v>
      </c>
      <c r="G107" s="8" t="n">
        <v>100</v>
      </c>
      <c r="H107" s="7" t="str">
        <f aca="false">F107&amp;"–"&amp;G107</f>
        <v>0–100</v>
      </c>
      <c r="I107" s="12" t="n">
        <v>10.895</v>
      </c>
      <c r="J107" s="12" t="n">
        <v>0.564</v>
      </c>
      <c r="K107" s="13" t="n">
        <f aca="false">I107-J107</f>
        <v>10.331</v>
      </c>
      <c r="L107" s="14" t="n">
        <f aca="false">IF(I107=0,"",100*J107/I107)</f>
        <v>5.17668655346489</v>
      </c>
      <c r="M107" s="12" t="n">
        <v>11.795</v>
      </c>
      <c r="N107" s="12" t="n">
        <v>0.603</v>
      </c>
      <c r="O107" s="15" t="n">
        <v>0.9237</v>
      </c>
      <c r="P107" s="15" t="n">
        <v>0.9364</v>
      </c>
      <c r="Q107" s="11"/>
    </row>
    <row r="108" customFormat="false" ht="15" hidden="false" customHeight="false" outlineLevel="0" collapsed="false">
      <c r="A108" s="7" t="str">
        <f aca="false">D108&amp;"-"&amp;TEXT(E108,"00")&amp;"-"&amp;H108&amp;"-"&amp;B108</f>
        <v>ICL-15-100–200-dry</v>
      </c>
      <c r="B108" s="8" t="s">
        <v>67</v>
      </c>
      <c r="C108" s="8" t="s">
        <v>68</v>
      </c>
      <c r="D108" s="8" t="s">
        <v>44</v>
      </c>
      <c r="E108" s="8" t="n">
        <v>15</v>
      </c>
      <c r="F108" s="8" t="n">
        <v>100</v>
      </c>
      <c r="G108" s="8" t="n">
        <v>200</v>
      </c>
      <c r="H108" s="7" t="str">
        <f aca="false">F108&amp;"–"&amp;G108</f>
        <v>100–200</v>
      </c>
      <c r="I108" s="12" t="n">
        <v>9.795</v>
      </c>
      <c r="J108" s="12" t="n">
        <v>0.367</v>
      </c>
      <c r="K108" s="13" t="n">
        <f aca="false">I108-J108</f>
        <v>9.428</v>
      </c>
      <c r="L108" s="14" t="n">
        <f aca="false">IF(I108=0,"",100*J108/I108)</f>
        <v>3.74680959673303</v>
      </c>
      <c r="M108" s="12" t="n">
        <v>10.276</v>
      </c>
      <c r="N108" s="12" t="n">
        <v>0.395</v>
      </c>
      <c r="O108" s="15" t="n">
        <v>0.9532</v>
      </c>
      <c r="P108" s="15" t="n">
        <v>0.9309</v>
      </c>
      <c r="Q108" s="11"/>
    </row>
    <row r="109" customFormat="false" ht="15" hidden="false" customHeight="false" outlineLevel="0" collapsed="false">
      <c r="A109" s="7" t="str">
        <f aca="false">D109&amp;"-"&amp;TEXT(E109,"00")&amp;"-"&amp;H109&amp;"-"&amp;B109</f>
        <v>ICL-15-200–300-dry</v>
      </c>
      <c r="B109" s="8" t="s">
        <v>67</v>
      </c>
      <c r="C109" s="8" t="s">
        <v>68</v>
      </c>
      <c r="D109" s="8" t="s">
        <v>44</v>
      </c>
      <c r="E109" s="8" t="n">
        <v>15</v>
      </c>
      <c r="F109" s="8" t="n">
        <v>200</v>
      </c>
      <c r="G109" s="8" t="n">
        <v>300</v>
      </c>
      <c r="H109" s="7" t="str">
        <f aca="false">F109&amp;"–"&amp;G109</f>
        <v>200–300</v>
      </c>
      <c r="I109" s="12" t="n">
        <v>8.702</v>
      </c>
      <c r="J109" s="12" t="n">
        <v>0.305</v>
      </c>
      <c r="K109" s="13" t="n">
        <f aca="false">I109-J109</f>
        <v>8.397</v>
      </c>
      <c r="L109" s="14" t="n">
        <f aca="false">IF(I109=0,"",100*J109/I109)</f>
        <v>3.50494139278327</v>
      </c>
      <c r="M109" s="12" t="n">
        <v>9.203</v>
      </c>
      <c r="N109" s="12" t="n">
        <v>0.323</v>
      </c>
      <c r="O109" s="15" t="n">
        <v>0.9457</v>
      </c>
      <c r="P109" s="15" t="n">
        <v>0.9438</v>
      </c>
      <c r="Q109" s="11"/>
    </row>
    <row r="110" customFormat="false" ht="15" hidden="false" customHeight="false" outlineLevel="0" collapsed="false">
      <c r="A110" s="7" t="str">
        <f aca="false">D110&amp;"-"&amp;TEXT(E110,"00")&amp;"-"&amp;H110&amp;"-"&amp;B110</f>
        <v>ICL-16-0–100-dry</v>
      </c>
      <c r="B110" s="8" t="s">
        <v>67</v>
      </c>
      <c r="C110" s="8" t="s">
        <v>68</v>
      </c>
      <c r="D110" s="8" t="s">
        <v>44</v>
      </c>
      <c r="E110" s="8" t="n">
        <v>16</v>
      </c>
      <c r="F110" s="8" t="n">
        <v>0</v>
      </c>
      <c r="G110" s="8" t="n">
        <v>100</v>
      </c>
      <c r="H110" s="7" t="str">
        <f aca="false">F110&amp;"–"&amp;G110</f>
        <v>0–100</v>
      </c>
      <c r="I110" s="12" t="n">
        <v>11.144</v>
      </c>
      <c r="J110" s="12" t="n">
        <v>0.596</v>
      </c>
      <c r="K110" s="13" t="n">
        <f aca="false">I110-J110</f>
        <v>10.548</v>
      </c>
      <c r="L110" s="14" t="n">
        <f aca="false">IF(I110=0,"",100*J110/I110)</f>
        <v>5.34816941852118</v>
      </c>
      <c r="M110" s="12" t="n">
        <v>12.064</v>
      </c>
      <c r="N110" s="12" t="n">
        <v>0.636</v>
      </c>
      <c r="O110" s="15" t="n">
        <v>0.9237</v>
      </c>
      <c r="P110" s="15" t="n">
        <v>0.9364</v>
      </c>
      <c r="Q110" s="11"/>
    </row>
    <row r="111" customFormat="false" ht="15" hidden="false" customHeight="false" outlineLevel="0" collapsed="false">
      <c r="A111" s="7" t="str">
        <f aca="false">D111&amp;"-"&amp;TEXT(E111,"00")&amp;"-"&amp;H111&amp;"-"&amp;B111</f>
        <v>ICL-16-100–200-dry</v>
      </c>
      <c r="B111" s="8" t="s">
        <v>67</v>
      </c>
      <c r="C111" s="8" t="s">
        <v>68</v>
      </c>
      <c r="D111" s="8" t="s">
        <v>44</v>
      </c>
      <c r="E111" s="8" t="n">
        <v>16</v>
      </c>
      <c r="F111" s="8" t="n">
        <v>100</v>
      </c>
      <c r="G111" s="8" t="n">
        <v>200</v>
      </c>
      <c r="H111" s="7" t="str">
        <f aca="false">F111&amp;"–"&amp;G111</f>
        <v>100–200</v>
      </c>
      <c r="I111" s="12" t="n">
        <v>8.488</v>
      </c>
      <c r="J111" s="12" t="n">
        <v>0.144</v>
      </c>
      <c r="K111" s="13" t="n">
        <f aca="false">I111-J111</f>
        <v>8.344</v>
      </c>
      <c r="L111" s="14" t="n">
        <f aca="false">IF(I111=0,"",100*J111/I111)</f>
        <v>1.69651272384543</v>
      </c>
      <c r="M111" s="12" t="n">
        <v>8.905</v>
      </c>
      <c r="N111" s="12" t="n">
        <v>0.155</v>
      </c>
      <c r="O111" s="15" t="n">
        <v>0.9532</v>
      </c>
      <c r="P111" s="15" t="n">
        <v>0.9309</v>
      </c>
      <c r="Q111" s="11"/>
    </row>
    <row r="112" customFormat="false" ht="15" hidden="false" customHeight="false" outlineLevel="0" collapsed="false">
      <c r="A112" s="7" t="str">
        <f aca="false">D112&amp;"-"&amp;TEXT(E112,"00")&amp;"-"&amp;H112&amp;"-"&amp;B112</f>
        <v>ICL-16-200–300-dry</v>
      </c>
      <c r="B112" s="8" t="s">
        <v>67</v>
      </c>
      <c r="C112" s="8" t="s">
        <v>68</v>
      </c>
      <c r="D112" s="8" t="s">
        <v>44</v>
      </c>
      <c r="E112" s="8" t="n">
        <v>16</v>
      </c>
      <c r="F112" s="8" t="n">
        <v>200</v>
      </c>
      <c r="G112" s="8" t="n">
        <v>300</v>
      </c>
      <c r="H112" s="7" t="str">
        <f aca="false">F112&amp;"–"&amp;G112</f>
        <v>200–300</v>
      </c>
      <c r="I112" s="12" t="n">
        <v>7.44</v>
      </c>
      <c r="J112" s="12" t="n">
        <v>0.395</v>
      </c>
      <c r="K112" s="13" t="n">
        <f aca="false">I112-J112</f>
        <v>7.045</v>
      </c>
      <c r="L112" s="14" t="n">
        <f aca="false">IF(I112=0,"",100*J112/I112)</f>
        <v>5.30913978494624</v>
      </c>
      <c r="M112" s="12" t="n">
        <v>7.868</v>
      </c>
      <c r="N112" s="12" t="n">
        <v>0.418</v>
      </c>
      <c r="O112" s="15" t="n">
        <v>0.9457</v>
      </c>
      <c r="P112" s="15" t="n">
        <v>0.9438</v>
      </c>
      <c r="Q112" s="11"/>
    </row>
    <row r="113" customFormat="false" ht="15" hidden="false" customHeight="false" outlineLevel="0" collapsed="false">
      <c r="A113" s="7" t="str">
        <f aca="false">D113&amp;"-"&amp;TEXT(E113,"00")&amp;"-"&amp;H113&amp;"-"&amp;B113</f>
        <v>ICL-17-0–100-dry</v>
      </c>
      <c r="B113" s="8" t="s">
        <v>67</v>
      </c>
      <c r="C113" s="8" t="s">
        <v>68</v>
      </c>
      <c r="D113" s="8" t="s">
        <v>44</v>
      </c>
      <c r="E113" s="8" t="n">
        <v>17</v>
      </c>
      <c r="F113" s="8" t="n">
        <v>0</v>
      </c>
      <c r="G113" s="8" t="n">
        <v>100</v>
      </c>
      <c r="H113" s="7" t="str">
        <f aca="false">F113&amp;"–"&amp;G113</f>
        <v>0–100</v>
      </c>
      <c r="I113" s="12" t="n">
        <v>10.095</v>
      </c>
      <c r="J113" s="12" t="n">
        <v>0.535</v>
      </c>
      <c r="K113" s="13" t="n">
        <f aca="false">I113-J113</f>
        <v>9.56</v>
      </c>
      <c r="L113" s="14" t="n">
        <f aca="false">IF(I113=0,"",100*J113/I113)</f>
        <v>5.29965329370976</v>
      </c>
      <c r="M113" s="12" t="n">
        <v>10.928</v>
      </c>
      <c r="N113" s="12" t="n">
        <v>0.572</v>
      </c>
      <c r="O113" s="15" t="n">
        <v>0.9237</v>
      </c>
      <c r="P113" s="15" t="n">
        <v>0.9364</v>
      </c>
      <c r="Q113" s="11"/>
    </row>
    <row r="114" customFormat="false" ht="15" hidden="false" customHeight="false" outlineLevel="0" collapsed="false">
      <c r="A114" s="7" t="str">
        <f aca="false">D114&amp;"-"&amp;TEXT(E114,"00")&amp;"-"&amp;H114&amp;"-"&amp;B114</f>
        <v>ICL-17-100–200-dry</v>
      </c>
      <c r="B114" s="8" t="s">
        <v>67</v>
      </c>
      <c r="C114" s="8" t="s">
        <v>68</v>
      </c>
      <c r="D114" s="8" t="s">
        <v>44</v>
      </c>
      <c r="E114" s="8" t="n">
        <v>17</v>
      </c>
      <c r="F114" s="8" t="n">
        <v>100</v>
      </c>
      <c r="G114" s="8" t="n">
        <v>200</v>
      </c>
      <c r="H114" s="7" t="str">
        <f aca="false">F114&amp;"–"&amp;G114</f>
        <v>100–200</v>
      </c>
      <c r="I114" s="12" t="n">
        <v>10.222</v>
      </c>
      <c r="J114" s="12" t="n">
        <v>0.515</v>
      </c>
      <c r="K114" s="13" t="n">
        <f aca="false">I114-J114</f>
        <v>9.707</v>
      </c>
      <c r="L114" s="14" t="n">
        <f aca="false">IF(I114=0,"",100*J114/I114)</f>
        <v>5.03815300332616</v>
      </c>
      <c r="M114" s="12" t="n">
        <v>10.724</v>
      </c>
      <c r="N114" s="12" t="n">
        <v>0.553</v>
      </c>
      <c r="O114" s="15" t="n">
        <v>0.9532</v>
      </c>
      <c r="P114" s="15" t="n">
        <v>0.9309</v>
      </c>
      <c r="Q114" s="11"/>
    </row>
    <row r="115" customFormat="false" ht="15" hidden="false" customHeight="false" outlineLevel="0" collapsed="false">
      <c r="A115" s="7" t="str">
        <f aca="false">D115&amp;"-"&amp;TEXT(E115,"00")&amp;"-"&amp;H115&amp;"-"&amp;B115</f>
        <v>ICL-17-200–300-dry</v>
      </c>
      <c r="B115" s="8" t="s">
        <v>67</v>
      </c>
      <c r="C115" s="8" t="s">
        <v>68</v>
      </c>
      <c r="D115" s="8" t="s">
        <v>44</v>
      </c>
      <c r="E115" s="8" t="n">
        <v>17</v>
      </c>
      <c r="F115" s="8" t="n">
        <v>200</v>
      </c>
      <c r="G115" s="8" t="n">
        <v>300</v>
      </c>
      <c r="H115" s="7" t="str">
        <f aca="false">F115&amp;"–"&amp;G115</f>
        <v>200–300</v>
      </c>
      <c r="I115" s="12" t="n">
        <v>9.791</v>
      </c>
      <c r="J115" s="12" t="n">
        <v>0.275</v>
      </c>
      <c r="K115" s="13" t="n">
        <f aca="false">I115-J115</f>
        <v>9.516</v>
      </c>
      <c r="L115" s="14" t="n">
        <f aca="false">IF(I115=0,"",100*J115/I115)</f>
        <v>2.80870186906343</v>
      </c>
      <c r="M115" s="12" t="n">
        <v>10.354</v>
      </c>
      <c r="N115" s="12" t="n">
        <v>0.291</v>
      </c>
      <c r="O115" s="15" t="n">
        <v>0.9457</v>
      </c>
      <c r="P115" s="15" t="n">
        <v>0.9438</v>
      </c>
      <c r="Q115" s="11"/>
    </row>
    <row r="116" customFormat="false" ht="15" hidden="false" customHeight="false" outlineLevel="0" collapsed="false">
      <c r="A116" s="7" t="str">
        <f aca="false">D116&amp;"-"&amp;TEXT(E116,"00")&amp;"-"&amp;H116&amp;"-"&amp;B116</f>
        <v>ICL-18-0–100-dry</v>
      </c>
      <c r="B116" s="8" t="s">
        <v>67</v>
      </c>
      <c r="C116" s="8" t="s">
        <v>68</v>
      </c>
      <c r="D116" s="8" t="s">
        <v>44</v>
      </c>
      <c r="E116" s="8" t="n">
        <v>18</v>
      </c>
      <c r="F116" s="8" t="n">
        <v>0</v>
      </c>
      <c r="G116" s="8" t="n">
        <v>100</v>
      </c>
      <c r="H116" s="7" t="str">
        <f aca="false">F116&amp;"–"&amp;G116</f>
        <v>0–100</v>
      </c>
      <c r="I116" s="12" t="n">
        <v>9.407</v>
      </c>
      <c r="J116" s="12" t="n">
        <v>0.739</v>
      </c>
      <c r="K116" s="13" t="n">
        <f aca="false">I116-J116</f>
        <v>8.668</v>
      </c>
      <c r="L116" s="14" t="n">
        <f aca="false">IF(I116=0,"",100*J116/I116)</f>
        <v>7.8558520250877</v>
      </c>
      <c r="M116" s="12" t="n">
        <v>10.183</v>
      </c>
      <c r="N116" s="12" t="n">
        <v>0.789</v>
      </c>
      <c r="O116" s="15" t="n">
        <v>0.9237</v>
      </c>
      <c r="P116" s="15" t="n">
        <v>0.9364</v>
      </c>
      <c r="Q116" s="11"/>
    </row>
    <row r="117" customFormat="false" ht="15" hidden="false" customHeight="false" outlineLevel="0" collapsed="false">
      <c r="A117" s="7" t="str">
        <f aca="false">D117&amp;"-"&amp;TEXT(E117,"00")&amp;"-"&amp;H117&amp;"-"&amp;B117</f>
        <v>ICL-18-100–200-dry</v>
      </c>
      <c r="B117" s="8" t="s">
        <v>67</v>
      </c>
      <c r="C117" s="8" t="s">
        <v>68</v>
      </c>
      <c r="D117" s="8" t="s">
        <v>44</v>
      </c>
      <c r="E117" s="8" t="n">
        <v>18</v>
      </c>
      <c r="F117" s="8" t="n">
        <v>100</v>
      </c>
      <c r="G117" s="8" t="n">
        <v>200</v>
      </c>
      <c r="H117" s="7" t="str">
        <f aca="false">F117&amp;"–"&amp;G117</f>
        <v>100–200</v>
      </c>
      <c r="I117" s="12" t="n">
        <v>7.984</v>
      </c>
      <c r="J117" s="12" t="n">
        <v>0.488</v>
      </c>
      <c r="K117" s="13" t="n">
        <f aca="false">I117-J117</f>
        <v>7.496</v>
      </c>
      <c r="L117" s="14" t="n">
        <f aca="false">IF(I117=0,"",100*J117/I117)</f>
        <v>6.1122244488978</v>
      </c>
      <c r="M117" s="12" t="n">
        <v>8.376</v>
      </c>
      <c r="N117" s="12" t="n">
        <v>0.524</v>
      </c>
      <c r="O117" s="15" t="n">
        <v>0.9532</v>
      </c>
      <c r="P117" s="15" t="n">
        <v>0.9309</v>
      </c>
      <c r="Q117" s="11"/>
    </row>
    <row r="118" customFormat="false" ht="15" hidden="false" customHeight="false" outlineLevel="0" collapsed="false">
      <c r="A118" s="7" t="str">
        <f aca="false">D118&amp;"-"&amp;TEXT(E118,"00")&amp;"-"&amp;H118&amp;"-"&amp;B118</f>
        <v>ICL-18-200–300-dry</v>
      </c>
      <c r="B118" s="8" t="s">
        <v>67</v>
      </c>
      <c r="C118" s="8" t="s">
        <v>68</v>
      </c>
      <c r="D118" s="8" t="s">
        <v>44</v>
      </c>
      <c r="E118" s="8" t="n">
        <v>18</v>
      </c>
      <c r="F118" s="8" t="n">
        <v>200</v>
      </c>
      <c r="G118" s="8" t="n">
        <v>300</v>
      </c>
      <c r="H118" s="7" t="str">
        <f aca="false">F118&amp;"–"&amp;G118</f>
        <v>200–300</v>
      </c>
      <c r="I118" s="12" t="n">
        <v>6.481</v>
      </c>
      <c r="J118" s="12" t="n">
        <v>0.369</v>
      </c>
      <c r="K118" s="13" t="n">
        <f aca="false">I118-J118</f>
        <v>6.112</v>
      </c>
      <c r="L118" s="14" t="n">
        <f aca="false">IF(I118=0,"",100*J118/I118)</f>
        <v>5.69356580774572</v>
      </c>
      <c r="M118" s="12" t="n">
        <v>6.853</v>
      </c>
      <c r="N118" s="12" t="n">
        <v>0.391</v>
      </c>
      <c r="O118" s="15" t="n">
        <v>0.9457</v>
      </c>
      <c r="P118" s="15" t="n">
        <v>0.9438</v>
      </c>
      <c r="Q118" s="11"/>
    </row>
    <row r="119" customFormat="false" ht="15" hidden="false" customHeight="false" outlineLevel="0" collapsed="false">
      <c r="A119" s="7" t="str">
        <f aca="false">D119&amp;"-"&amp;TEXT(E119,"00")&amp;"-"&amp;H119&amp;"-"&amp;B119</f>
        <v>ICL-19-0–100-dry</v>
      </c>
      <c r="B119" s="8" t="s">
        <v>67</v>
      </c>
      <c r="C119" s="8" t="s">
        <v>68</v>
      </c>
      <c r="D119" s="8" t="s">
        <v>44</v>
      </c>
      <c r="E119" s="8" t="n">
        <v>19</v>
      </c>
      <c r="F119" s="8" t="n">
        <v>0</v>
      </c>
      <c r="G119" s="8" t="n">
        <v>100</v>
      </c>
      <c r="H119" s="7" t="str">
        <f aca="false">F119&amp;"–"&amp;G119</f>
        <v>0–100</v>
      </c>
      <c r="I119" s="12" t="n">
        <v>14.745</v>
      </c>
      <c r="J119" s="12" t="n">
        <v>0.541</v>
      </c>
      <c r="K119" s="13" t="n">
        <f aca="false">I119-J119</f>
        <v>14.204</v>
      </c>
      <c r="L119" s="14" t="n">
        <f aca="false">IF(I119=0,"",100*J119/I119)</f>
        <v>3.66904035266192</v>
      </c>
      <c r="M119" s="12" t="n">
        <v>15.962</v>
      </c>
      <c r="N119" s="12" t="n">
        <v>0.578</v>
      </c>
      <c r="O119" s="15" t="n">
        <v>0.9237</v>
      </c>
      <c r="P119" s="15" t="n">
        <v>0.9364</v>
      </c>
      <c r="Q119" s="11"/>
    </row>
    <row r="120" customFormat="false" ht="15" hidden="false" customHeight="false" outlineLevel="0" collapsed="false">
      <c r="A120" s="7" t="str">
        <f aca="false">D120&amp;"-"&amp;TEXT(E120,"00")&amp;"-"&amp;H120&amp;"-"&amp;B120</f>
        <v>ICL-19-100–200-dry</v>
      </c>
      <c r="B120" s="8" t="s">
        <v>67</v>
      </c>
      <c r="C120" s="8" t="s">
        <v>68</v>
      </c>
      <c r="D120" s="8" t="s">
        <v>44</v>
      </c>
      <c r="E120" s="8" t="n">
        <v>19</v>
      </c>
      <c r="F120" s="8" t="n">
        <v>100</v>
      </c>
      <c r="G120" s="8" t="n">
        <v>200</v>
      </c>
      <c r="H120" s="7" t="str">
        <f aca="false">F120&amp;"–"&amp;G120</f>
        <v>100–200</v>
      </c>
      <c r="I120" s="12" t="n">
        <v>14.31</v>
      </c>
      <c r="J120" s="12" t="n">
        <v>0.344</v>
      </c>
      <c r="K120" s="13" t="n">
        <f aca="false">I120-J120</f>
        <v>13.966</v>
      </c>
      <c r="L120" s="14" t="n">
        <f aca="false">IF(I120=0,"",100*J120/I120)</f>
        <v>2.40391334730957</v>
      </c>
      <c r="M120" s="12" t="n">
        <v>15.013</v>
      </c>
      <c r="N120" s="12" t="n">
        <v>0.369</v>
      </c>
      <c r="O120" s="15" t="n">
        <v>0.9532</v>
      </c>
      <c r="P120" s="15" t="n">
        <v>0.9309</v>
      </c>
      <c r="Q120" s="11"/>
    </row>
    <row r="121" customFormat="false" ht="15" hidden="false" customHeight="false" outlineLevel="0" collapsed="false">
      <c r="A121" s="7" t="str">
        <f aca="false">D121&amp;"-"&amp;TEXT(E121,"00")&amp;"-"&amp;H121&amp;"-"&amp;B121</f>
        <v>ICL-19-200–300-dry</v>
      </c>
      <c r="B121" s="8" t="s">
        <v>67</v>
      </c>
      <c r="C121" s="8" t="s">
        <v>68</v>
      </c>
      <c r="D121" s="8" t="s">
        <v>44</v>
      </c>
      <c r="E121" s="8" t="n">
        <v>19</v>
      </c>
      <c r="F121" s="8" t="n">
        <v>200</v>
      </c>
      <c r="G121" s="8" t="n">
        <v>300</v>
      </c>
      <c r="H121" s="7" t="str">
        <f aca="false">F121&amp;"–"&amp;G121</f>
        <v>200–300</v>
      </c>
      <c r="I121" s="12" t="n">
        <v>11.563</v>
      </c>
      <c r="J121" s="12" t="n">
        <v>0.162</v>
      </c>
      <c r="K121" s="13" t="n">
        <f aca="false">I121-J121</f>
        <v>11.401</v>
      </c>
      <c r="L121" s="14" t="n">
        <f aca="false">IF(I121=0,"",100*J121/I121)</f>
        <v>1.40102049641097</v>
      </c>
      <c r="M121" s="12" t="n">
        <v>12.227</v>
      </c>
      <c r="N121" s="12" t="n">
        <v>0.172</v>
      </c>
      <c r="O121" s="15" t="n">
        <v>0.9457</v>
      </c>
      <c r="P121" s="15" t="n">
        <v>0.9438</v>
      </c>
      <c r="Q121" s="11"/>
    </row>
    <row r="122" customFormat="false" ht="15" hidden="false" customHeight="false" outlineLevel="0" collapsed="false">
      <c r="A122" s="7" t="str">
        <f aca="false">D122&amp;"-"&amp;TEXT(E122,"00")&amp;"-"&amp;H122&amp;"-"&amp;B122</f>
        <v>ICL-20-0–100-dry</v>
      </c>
      <c r="B122" s="8" t="s">
        <v>67</v>
      </c>
      <c r="C122" s="8" t="s">
        <v>68</v>
      </c>
      <c r="D122" s="8" t="s">
        <v>44</v>
      </c>
      <c r="E122" s="8" t="n">
        <v>20</v>
      </c>
      <c r="F122" s="8" t="n">
        <v>0</v>
      </c>
      <c r="G122" s="8" t="n">
        <v>100</v>
      </c>
      <c r="H122" s="7" t="str">
        <f aca="false">F122&amp;"–"&amp;G122</f>
        <v>0–100</v>
      </c>
      <c r="I122" s="12" t="n">
        <v>10.934</v>
      </c>
      <c r="J122" s="12" t="n">
        <v>0.911</v>
      </c>
      <c r="K122" s="13" t="n">
        <f aca="false">I122-J122</f>
        <v>10.023</v>
      </c>
      <c r="L122" s="14" t="n">
        <f aca="false">IF(I122=0,"",100*J122/I122)</f>
        <v>8.33180903603439</v>
      </c>
      <c r="M122" s="12" t="n">
        <v>11.837</v>
      </c>
      <c r="N122" s="12" t="n">
        <v>0.973</v>
      </c>
      <c r="O122" s="15" t="n">
        <v>0.9237</v>
      </c>
      <c r="P122" s="15" t="n">
        <v>0.9364</v>
      </c>
      <c r="Q122" s="11"/>
    </row>
    <row r="123" customFormat="false" ht="15" hidden="false" customHeight="false" outlineLevel="0" collapsed="false">
      <c r="A123" s="7" t="str">
        <f aca="false">D123&amp;"-"&amp;TEXT(E123,"00")&amp;"-"&amp;H123&amp;"-"&amp;B123</f>
        <v>ICL-20-100–200-dry</v>
      </c>
      <c r="B123" s="8" t="s">
        <v>67</v>
      </c>
      <c r="C123" s="8" t="s">
        <v>68</v>
      </c>
      <c r="D123" s="8" t="s">
        <v>44</v>
      </c>
      <c r="E123" s="8" t="n">
        <v>20</v>
      </c>
      <c r="F123" s="8" t="n">
        <v>100</v>
      </c>
      <c r="G123" s="8" t="n">
        <v>200</v>
      </c>
      <c r="H123" s="7" t="str">
        <f aca="false">F123&amp;"–"&amp;G123</f>
        <v>100–200</v>
      </c>
      <c r="I123" s="12" t="n">
        <v>11.772</v>
      </c>
      <c r="J123" s="12" t="n">
        <v>0.288</v>
      </c>
      <c r="K123" s="13" t="n">
        <f aca="false">I123-J123</f>
        <v>11.484</v>
      </c>
      <c r="L123" s="14" t="n">
        <f aca="false">IF(I123=0,"",100*J123/I123)</f>
        <v>2.44648318042813</v>
      </c>
      <c r="M123" s="12" t="n">
        <v>12.351</v>
      </c>
      <c r="N123" s="12" t="n">
        <v>0.309</v>
      </c>
      <c r="O123" s="15" t="n">
        <v>0.9532</v>
      </c>
      <c r="P123" s="15" t="n">
        <v>0.9309</v>
      </c>
      <c r="Q123" s="11"/>
    </row>
    <row r="124" customFormat="false" ht="15" hidden="false" customHeight="false" outlineLevel="0" collapsed="false">
      <c r="A124" s="7" t="str">
        <f aca="false">D124&amp;"-"&amp;TEXT(E124,"00")&amp;"-"&amp;H124&amp;"-"&amp;B124</f>
        <v>ICL-20-200–300-dry</v>
      </c>
      <c r="B124" s="8" t="s">
        <v>67</v>
      </c>
      <c r="C124" s="8" t="s">
        <v>68</v>
      </c>
      <c r="D124" s="8" t="s">
        <v>44</v>
      </c>
      <c r="E124" s="8" t="n">
        <v>20</v>
      </c>
      <c r="F124" s="8" t="n">
        <v>200</v>
      </c>
      <c r="G124" s="8" t="n">
        <v>300</v>
      </c>
      <c r="H124" s="7" t="str">
        <f aca="false">F124&amp;"–"&amp;G124</f>
        <v>200–300</v>
      </c>
      <c r="I124" s="12" t="n">
        <v>11.391</v>
      </c>
      <c r="J124" s="12" t="n">
        <v>0.281</v>
      </c>
      <c r="K124" s="13" t="n">
        <f aca="false">I124-J124</f>
        <v>11.11</v>
      </c>
      <c r="L124" s="14" t="n">
        <f aca="false">IF(I124=0,"",100*J124/I124)</f>
        <v>2.46685980159775</v>
      </c>
      <c r="M124" s="12" t="n">
        <v>12.045</v>
      </c>
      <c r="N124" s="12" t="n">
        <v>0.297</v>
      </c>
      <c r="O124" s="15" t="n">
        <v>0.9457</v>
      </c>
      <c r="P124" s="15" t="n">
        <v>0.9438</v>
      </c>
      <c r="Q124" s="11"/>
    </row>
    <row r="125" customFormat="false" ht="15" hidden="false" customHeight="false" outlineLevel="0" collapsed="false">
      <c r="A125" s="7" t="str">
        <f aca="false">D125&amp;"-"&amp;TEXT(E125,"00")&amp;"-"&amp;H125&amp;"-"&amp;B125</f>
        <v>MP-01-0–100-dry</v>
      </c>
      <c r="B125" s="8" t="s">
        <v>67</v>
      </c>
      <c r="C125" s="8" t="s">
        <v>68</v>
      </c>
      <c r="D125" s="8" t="s">
        <v>48</v>
      </c>
      <c r="E125" s="8" t="n">
        <v>1</v>
      </c>
      <c r="F125" s="8" t="n">
        <v>0</v>
      </c>
      <c r="G125" s="8" t="n">
        <v>100</v>
      </c>
      <c r="H125" s="7" t="str">
        <f aca="false">F125&amp;"–"&amp;G125</f>
        <v>0–100</v>
      </c>
      <c r="I125" s="12" t="n">
        <v>10.712</v>
      </c>
      <c r="J125" s="12" t="n">
        <v>0.145</v>
      </c>
      <c r="K125" s="13" t="n">
        <f aca="false">I125-J125</f>
        <v>10.567</v>
      </c>
      <c r="L125" s="14" t="n">
        <f aca="false">IF(I125=0,"",100*J125/I125)</f>
        <v>1.35362210604929</v>
      </c>
      <c r="M125" s="12" t="n">
        <v>11.283</v>
      </c>
      <c r="N125" s="12" t="n">
        <v>0.155</v>
      </c>
      <c r="O125" s="15" t="n">
        <v>0.9494</v>
      </c>
      <c r="P125" s="15" t="n">
        <v>0.9346</v>
      </c>
      <c r="Q125" s="11"/>
    </row>
    <row r="126" customFormat="false" ht="15" hidden="false" customHeight="false" outlineLevel="0" collapsed="false">
      <c r="A126" s="7" t="str">
        <f aca="false">D126&amp;"-"&amp;TEXT(E126,"00")&amp;"-"&amp;H126&amp;"-"&amp;B126</f>
        <v>MP-01-100–200-dry</v>
      </c>
      <c r="B126" s="8" t="s">
        <v>67</v>
      </c>
      <c r="C126" s="8" t="s">
        <v>68</v>
      </c>
      <c r="D126" s="8" t="s">
        <v>48</v>
      </c>
      <c r="E126" s="8" t="n">
        <v>1</v>
      </c>
      <c r="F126" s="8" t="n">
        <v>100</v>
      </c>
      <c r="G126" s="8" t="n">
        <v>200</v>
      </c>
      <c r="H126" s="7" t="str">
        <f aca="false">F126&amp;"–"&amp;G126</f>
        <v>100–200</v>
      </c>
      <c r="I126" s="12" t="n">
        <v>9.909</v>
      </c>
      <c r="J126" s="12" t="n">
        <v>0.186</v>
      </c>
      <c r="K126" s="13" t="n">
        <f aca="false">I126-J126</f>
        <v>9.723</v>
      </c>
      <c r="L126" s="14" t="n">
        <f aca="false">IF(I126=0,"",100*J126/I126)</f>
        <v>1.87708144111414</v>
      </c>
      <c r="M126" s="12" t="n">
        <v>10.437</v>
      </c>
      <c r="N126" s="12" t="n">
        <v>0.189</v>
      </c>
      <c r="O126" s="15" t="n">
        <v>0.9494</v>
      </c>
      <c r="P126" s="15" t="n">
        <v>0.9825</v>
      </c>
      <c r="Q126" s="11"/>
    </row>
    <row r="127" customFormat="false" ht="15" hidden="false" customHeight="false" outlineLevel="0" collapsed="false">
      <c r="A127" s="7" t="str">
        <f aca="false">D127&amp;"-"&amp;TEXT(E127,"00")&amp;"-"&amp;H127&amp;"-"&amp;B127</f>
        <v>MP-01-200–300-dry</v>
      </c>
      <c r="B127" s="8" t="s">
        <v>67</v>
      </c>
      <c r="C127" s="8" t="s">
        <v>68</v>
      </c>
      <c r="D127" s="8" t="s">
        <v>48</v>
      </c>
      <c r="E127" s="8" t="n">
        <v>1</v>
      </c>
      <c r="F127" s="8" t="n">
        <v>200</v>
      </c>
      <c r="G127" s="8" t="n">
        <v>300</v>
      </c>
      <c r="H127" s="7" t="str">
        <f aca="false">F127&amp;"–"&amp;G127</f>
        <v>200–300</v>
      </c>
      <c r="I127" s="12" t="n">
        <v>8.131</v>
      </c>
      <c r="J127" s="12" t="n">
        <v>0.116</v>
      </c>
      <c r="K127" s="13" t="n">
        <f aca="false">I127-J127</f>
        <v>8.015</v>
      </c>
      <c r="L127" s="14" t="n">
        <f aca="false">IF(I127=0,"",100*J127/I127)</f>
        <v>1.42663878981675</v>
      </c>
      <c r="M127" s="12" t="n">
        <v>8.53</v>
      </c>
      <c r="N127" s="12" t="n">
        <v>0.125</v>
      </c>
      <c r="O127" s="15" t="n">
        <v>0.9532</v>
      </c>
      <c r="P127" s="15" t="n">
        <v>0.9327</v>
      </c>
      <c r="Q127" s="11"/>
    </row>
    <row r="128" customFormat="false" ht="15" hidden="false" customHeight="false" outlineLevel="0" collapsed="false">
      <c r="A128" s="7" t="str">
        <f aca="false">D128&amp;"-"&amp;TEXT(E128,"00")&amp;"-"&amp;H128&amp;"-"&amp;B128</f>
        <v>MP-02-0–100-dry</v>
      </c>
      <c r="B128" s="8" t="s">
        <v>67</v>
      </c>
      <c r="C128" s="8" t="s">
        <v>68</v>
      </c>
      <c r="D128" s="8" t="s">
        <v>48</v>
      </c>
      <c r="E128" s="8" t="n">
        <v>2</v>
      </c>
      <c r="F128" s="8" t="n">
        <v>0</v>
      </c>
      <c r="G128" s="8" t="n">
        <v>100</v>
      </c>
      <c r="H128" s="7" t="str">
        <f aca="false">F128&amp;"–"&amp;G128</f>
        <v>0–100</v>
      </c>
      <c r="I128" s="12" t="n">
        <v>9.978</v>
      </c>
      <c r="J128" s="12" t="n">
        <v>0.178</v>
      </c>
      <c r="K128" s="13" t="n">
        <f aca="false">I128-J128</f>
        <v>9.8</v>
      </c>
      <c r="L128" s="14" t="n">
        <f aca="false">IF(I128=0,"",100*J128/I128)</f>
        <v>1.78392463419523</v>
      </c>
      <c r="M128" s="12" t="n">
        <v>10.51</v>
      </c>
      <c r="N128" s="12" t="n">
        <v>0.191</v>
      </c>
      <c r="O128" s="15" t="n">
        <v>0.9494</v>
      </c>
      <c r="P128" s="15" t="n">
        <v>0.9346</v>
      </c>
      <c r="Q128" s="11"/>
    </row>
    <row r="129" customFormat="false" ht="15" hidden="false" customHeight="false" outlineLevel="0" collapsed="false">
      <c r="A129" s="7" t="str">
        <f aca="false">D129&amp;"-"&amp;TEXT(E129,"00")&amp;"-"&amp;H129&amp;"-"&amp;B129</f>
        <v>MP-02-100–200-dry</v>
      </c>
      <c r="B129" s="8" t="s">
        <v>67</v>
      </c>
      <c r="C129" s="8" t="s">
        <v>68</v>
      </c>
      <c r="D129" s="8" t="s">
        <v>48</v>
      </c>
      <c r="E129" s="8" t="n">
        <v>2</v>
      </c>
      <c r="F129" s="8" t="n">
        <v>100</v>
      </c>
      <c r="G129" s="8" t="n">
        <v>200</v>
      </c>
      <c r="H129" s="7" t="str">
        <f aca="false">F129&amp;"–"&amp;G129</f>
        <v>100–200</v>
      </c>
      <c r="I129" s="12" t="n">
        <v>8.976</v>
      </c>
      <c r="J129" s="12" t="n">
        <v>0.062</v>
      </c>
      <c r="K129" s="13" t="n">
        <f aca="false">I129-J129</f>
        <v>8.914</v>
      </c>
      <c r="L129" s="14" t="n">
        <f aca="false">IF(I129=0,"",100*J129/I129)</f>
        <v>0.690730837789661</v>
      </c>
      <c r="M129" s="12" t="n">
        <v>9.455</v>
      </c>
      <c r="N129" s="12" t="n">
        <v>0.063</v>
      </c>
      <c r="O129" s="15" t="n">
        <v>0.9494</v>
      </c>
      <c r="P129" s="15" t="n">
        <v>0.9825</v>
      </c>
      <c r="Q129" s="11"/>
    </row>
    <row r="130" customFormat="false" ht="15" hidden="false" customHeight="false" outlineLevel="0" collapsed="false">
      <c r="A130" s="7" t="str">
        <f aca="false">D130&amp;"-"&amp;TEXT(E130,"00")&amp;"-"&amp;H130&amp;"-"&amp;B130</f>
        <v>MP-02-200–300-dry</v>
      </c>
      <c r="B130" s="8" t="s">
        <v>67</v>
      </c>
      <c r="C130" s="8" t="s">
        <v>68</v>
      </c>
      <c r="D130" s="8" t="s">
        <v>48</v>
      </c>
      <c r="E130" s="8" t="n">
        <v>2</v>
      </c>
      <c r="F130" s="8" t="n">
        <v>200</v>
      </c>
      <c r="G130" s="8" t="n">
        <v>300</v>
      </c>
      <c r="H130" s="7" t="str">
        <f aca="false">F130&amp;"–"&amp;G130</f>
        <v>200–300</v>
      </c>
      <c r="I130" s="12" t="n">
        <v>9.093</v>
      </c>
      <c r="J130" s="12" t="n">
        <v>0.087</v>
      </c>
      <c r="K130" s="13" t="n">
        <f aca="false">I130-J130</f>
        <v>9.006</v>
      </c>
      <c r="L130" s="14" t="n">
        <f aca="false">IF(I130=0,"",100*J130/I130)</f>
        <v>0.956779940613659</v>
      </c>
      <c r="M130" s="12" t="n">
        <v>9.539</v>
      </c>
      <c r="N130" s="12" t="n">
        <v>0.093</v>
      </c>
      <c r="O130" s="15" t="n">
        <v>0.9532</v>
      </c>
      <c r="P130" s="15" t="n">
        <v>0.9327</v>
      </c>
      <c r="Q130" s="11"/>
    </row>
    <row r="131" customFormat="false" ht="15" hidden="false" customHeight="false" outlineLevel="0" collapsed="false">
      <c r="A131" s="7" t="str">
        <f aca="false">D131&amp;"-"&amp;TEXT(E131,"00")&amp;"-"&amp;H131&amp;"-"&amp;B131</f>
        <v>MP-03-0–100-dry</v>
      </c>
      <c r="B131" s="8" t="s">
        <v>67</v>
      </c>
      <c r="C131" s="8" t="s">
        <v>68</v>
      </c>
      <c r="D131" s="8" t="s">
        <v>48</v>
      </c>
      <c r="E131" s="8" t="n">
        <v>3</v>
      </c>
      <c r="F131" s="8" t="n">
        <v>0</v>
      </c>
      <c r="G131" s="8" t="n">
        <v>100</v>
      </c>
      <c r="H131" s="7" t="str">
        <f aca="false">F131&amp;"–"&amp;G131</f>
        <v>0–100</v>
      </c>
      <c r="I131" s="12" t="n">
        <v>15.192</v>
      </c>
      <c r="J131" s="12" t="n">
        <v>0.204</v>
      </c>
      <c r="K131" s="13" t="n">
        <f aca="false">I131-J131</f>
        <v>14.988</v>
      </c>
      <c r="L131" s="14" t="n">
        <f aca="false">IF(I131=0,"",100*J131/I131)</f>
        <v>1.34281200631912</v>
      </c>
      <c r="M131" s="12" t="n">
        <v>16.001</v>
      </c>
      <c r="N131" s="12" t="n">
        <v>0.218</v>
      </c>
      <c r="O131" s="15" t="n">
        <v>0.9494</v>
      </c>
      <c r="P131" s="15" t="n">
        <v>0.9346</v>
      </c>
      <c r="Q131" s="11"/>
    </row>
    <row r="132" customFormat="false" ht="15" hidden="false" customHeight="false" outlineLevel="0" collapsed="false">
      <c r="A132" s="7" t="str">
        <f aca="false">D132&amp;"-"&amp;TEXT(E132,"00")&amp;"-"&amp;H132&amp;"-"&amp;B132</f>
        <v>MP-03-100–200-dry</v>
      </c>
      <c r="B132" s="8" t="s">
        <v>67</v>
      </c>
      <c r="C132" s="8" t="s">
        <v>68</v>
      </c>
      <c r="D132" s="8" t="s">
        <v>48</v>
      </c>
      <c r="E132" s="8" t="n">
        <v>3</v>
      </c>
      <c r="F132" s="8" t="n">
        <v>100</v>
      </c>
      <c r="G132" s="8" t="n">
        <v>200</v>
      </c>
      <c r="H132" s="7" t="str">
        <f aca="false">F132&amp;"–"&amp;G132</f>
        <v>100–200</v>
      </c>
      <c r="I132" s="12" t="n">
        <v>11.406</v>
      </c>
      <c r="J132" s="12" t="n">
        <v>0.154</v>
      </c>
      <c r="K132" s="13" t="n">
        <f aca="false">I132-J132</f>
        <v>11.252</v>
      </c>
      <c r="L132" s="14" t="n">
        <f aca="false">IF(I132=0,"",100*J132/I132)</f>
        <v>1.35016657899351</v>
      </c>
      <c r="M132" s="12" t="n">
        <v>12.014</v>
      </c>
      <c r="N132" s="12" t="n">
        <v>0.157</v>
      </c>
      <c r="O132" s="15" t="n">
        <v>0.9494</v>
      </c>
      <c r="P132" s="15" t="n">
        <v>0.9825</v>
      </c>
      <c r="Q132" s="11"/>
    </row>
    <row r="133" customFormat="false" ht="15" hidden="false" customHeight="false" outlineLevel="0" collapsed="false">
      <c r="A133" s="7" t="str">
        <f aca="false">D133&amp;"-"&amp;TEXT(E133,"00")&amp;"-"&amp;H133&amp;"-"&amp;B133</f>
        <v>MP-03-200–300-dry</v>
      </c>
      <c r="B133" s="8" t="s">
        <v>67</v>
      </c>
      <c r="C133" s="8" t="s">
        <v>68</v>
      </c>
      <c r="D133" s="8" t="s">
        <v>48</v>
      </c>
      <c r="E133" s="8" t="n">
        <v>3</v>
      </c>
      <c r="F133" s="8" t="n">
        <v>200</v>
      </c>
      <c r="G133" s="8" t="n">
        <v>300</v>
      </c>
      <c r="H133" s="7" t="str">
        <f aca="false">F133&amp;"–"&amp;G133</f>
        <v>200–300</v>
      </c>
      <c r="I133" s="12" t="n">
        <v>9.748</v>
      </c>
      <c r="J133" s="12" t="n">
        <v>0.175</v>
      </c>
      <c r="K133" s="13" t="n">
        <f aca="false">I133-J133</f>
        <v>9.573</v>
      </c>
      <c r="L133" s="14" t="n">
        <f aca="false">IF(I133=0,"",100*J133/I133)</f>
        <v>1.79524004924087</v>
      </c>
      <c r="M133" s="12" t="n">
        <v>10.226</v>
      </c>
      <c r="N133" s="12" t="n">
        <v>0.188</v>
      </c>
      <c r="O133" s="15" t="n">
        <v>0.9532</v>
      </c>
      <c r="P133" s="15" t="n">
        <v>0.9327</v>
      </c>
      <c r="Q133" s="11"/>
    </row>
    <row r="134" customFormat="false" ht="15" hidden="false" customHeight="false" outlineLevel="0" collapsed="false">
      <c r="A134" s="7" t="str">
        <f aca="false">D134&amp;"-"&amp;TEXT(E134,"00")&amp;"-"&amp;H134&amp;"-"&amp;B134</f>
        <v>MP-04-0–100-dry</v>
      </c>
      <c r="B134" s="8" t="s">
        <v>67</v>
      </c>
      <c r="C134" s="8" t="s">
        <v>68</v>
      </c>
      <c r="D134" s="8" t="s">
        <v>48</v>
      </c>
      <c r="E134" s="8" t="n">
        <v>4</v>
      </c>
      <c r="F134" s="8" t="n">
        <v>0</v>
      </c>
      <c r="G134" s="8" t="n">
        <v>100</v>
      </c>
      <c r="H134" s="7" t="str">
        <f aca="false">F134&amp;"–"&amp;G134</f>
        <v>0–100</v>
      </c>
      <c r="I134" s="12" t="n">
        <v>12.337</v>
      </c>
      <c r="J134" s="12" t="n">
        <v>0.058</v>
      </c>
      <c r="K134" s="13" t="n">
        <f aca="false">I134-J134</f>
        <v>12.279</v>
      </c>
      <c r="L134" s="14" t="n">
        <f aca="false">IF(I134=0,"",100*J134/I134)</f>
        <v>0.470130501742725</v>
      </c>
      <c r="M134" s="12" t="n">
        <v>12.995</v>
      </c>
      <c r="N134" s="12" t="n">
        <v>0.062</v>
      </c>
      <c r="O134" s="15" t="n">
        <v>0.9494</v>
      </c>
      <c r="P134" s="15" t="n">
        <v>0.9346</v>
      </c>
      <c r="Q134" s="11"/>
    </row>
    <row r="135" customFormat="false" ht="15" hidden="false" customHeight="false" outlineLevel="0" collapsed="false">
      <c r="A135" s="7" t="str">
        <f aca="false">D135&amp;"-"&amp;TEXT(E135,"00")&amp;"-"&amp;H135&amp;"-"&amp;B135</f>
        <v>MP-04-100–200-dry</v>
      </c>
      <c r="B135" s="8" t="s">
        <v>67</v>
      </c>
      <c r="C135" s="8" t="s">
        <v>68</v>
      </c>
      <c r="D135" s="8" t="s">
        <v>48</v>
      </c>
      <c r="E135" s="8" t="n">
        <v>4</v>
      </c>
      <c r="F135" s="8" t="n">
        <v>100</v>
      </c>
      <c r="G135" s="8" t="n">
        <v>200</v>
      </c>
      <c r="H135" s="7" t="str">
        <f aca="false">F135&amp;"–"&amp;G135</f>
        <v>100–200</v>
      </c>
      <c r="I135" s="12" t="n">
        <v>13.663</v>
      </c>
      <c r="J135" s="12" t="n">
        <v>0.123</v>
      </c>
      <c r="K135" s="13" t="n">
        <f aca="false">I135-J135</f>
        <v>13.54</v>
      </c>
      <c r="L135" s="14" t="n">
        <f aca="false">IF(I135=0,"",100*J135/I135)</f>
        <v>0.900241528214887</v>
      </c>
      <c r="M135" s="12" t="n">
        <v>14.391</v>
      </c>
      <c r="N135" s="12" t="n">
        <v>0.126</v>
      </c>
      <c r="O135" s="15" t="n">
        <v>0.9494</v>
      </c>
      <c r="P135" s="15" t="n">
        <v>0.9825</v>
      </c>
      <c r="Q135" s="11"/>
    </row>
    <row r="136" customFormat="false" ht="15" hidden="false" customHeight="false" outlineLevel="0" collapsed="false">
      <c r="A136" s="7" t="str">
        <f aca="false">D136&amp;"-"&amp;TEXT(E136,"00")&amp;"-"&amp;H136&amp;"-"&amp;B136</f>
        <v>MP-04-200–300-dry</v>
      </c>
      <c r="B136" s="8" t="s">
        <v>67</v>
      </c>
      <c r="C136" s="8" t="s">
        <v>68</v>
      </c>
      <c r="D136" s="8" t="s">
        <v>48</v>
      </c>
      <c r="E136" s="8" t="n">
        <v>4</v>
      </c>
      <c r="F136" s="8" t="n">
        <v>200</v>
      </c>
      <c r="G136" s="8" t="n">
        <v>300</v>
      </c>
      <c r="H136" s="7" t="str">
        <f aca="false">F136&amp;"–"&amp;G136</f>
        <v>200–300</v>
      </c>
      <c r="I136" s="12" t="n">
        <v>8.744</v>
      </c>
      <c r="J136" s="12" t="n">
        <v>0.233</v>
      </c>
      <c r="K136" s="13" t="n">
        <f aca="false">I136-J136</f>
        <v>8.511</v>
      </c>
      <c r="L136" s="14" t="n">
        <f aca="false">IF(I136=0,"",100*J136/I136)</f>
        <v>2.66468435498628</v>
      </c>
      <c r="M136" s="12" t="n">
        <v>9.174</v>
      </c>
      <c r="N136" s="12" t="n">
        <v>0.249</v>
      </c>
      <c r="O136" s="15" t="n">
        <v>0.9532</v>
      </c>
      <c r="P136" s="15" t="n">
        <v>0.9327</v>
      </c>
      <c r="Q136" s="11"/>
    </row>
    <row r="137" customFormat="false" ht="15" hidden="false" customHeight="false" outlineLevel="0" collapsed="false">
      <c r="A137" s="7" t="str">
        <f aca="false">D137&amp;"-"&amp;TEXT(E137,"00")&amp;"-"&amp;H137&amp;"-"&amp;B137</f>
        <v>MP-05-0–100-dry</v>
      </c>
      <c r="B137" s="8" t="s">
        <v>67</v>
      </c>
      <c r="C137" s="8" t="s">
        <v>68</v>
      </c>
      <c r="D137" s="8" t="s">
        <v>48</v>
      </c>
      <c r="E137" s="8" t="n">
        <v>5</v>
      </c>
      <c r="F137" s="8" t="n">
        <v>0</v>
      </c>
      <c r="G137" s="8" t="n">
        <v>100</v>
      </c>
      <c r="H137" s="7" t="str">
        <f aca="false">F137&amp;"–"&amp;G137</f>
        <v>0–100</v>
      </c>
      <c r="I137" s="12" t="n">
        <v>8.72</v>
      </c>
      <c r="J137" s="12" t="n">
        <v>0.406</v>
      </c>
      <c r="K137" s="13" t="n">
        <f aca="false">I137-J137</f>
        <v>8.314</v>
      </c>
      <c r="L137" s="14" t="n">
        <f aca="false">IF(I137=0,"",100*J137/I137)</f>
        <v>4.65596330275229</v>
      </c>
      <c r="M137" s="12" t="n">
        <v>9.185</v>
      </c>
      <c r="N137" s="12" t="n">
        <v>0.434</v>
      </c>
      <c r="O137" s="15" t="n">
        <v>0.9494</v>
      </c>
      <c r="P137" s="15" t="n">
        <v>0.9346</v>
      </c>
      <c r="Q137" s="11"/>
    </row>
    <row r="138" customFormat="false" ht="15" hidden="false" customHeight="false" outlineLevel="0" collapsed="false">
      <c r="A138" s="7" t="str">
        <f aca="false">D138&amp;"-"&amp;TEXT(E138,"00")&amp;"-"&amp;H138&amp;"-"&amp;B138</f>
        <v>MP-05-100–200-dry</v>
      </c>
      <c r="B138" s="8" t="s">
        <v>67</v>
      </c>
      <c r="C138" s="8" t="s">
        <v>68</v>
      </c>
      <c r="D138" s="8" t="s">
        <v>48</v>
      </c>
      <c r="E138" s="8" t="n">
        <v>5</v>
      </c>
      <c r="F138" s="8" t="n">
        <v>100</v>
      </c>
      <c r="G138" s="8" t="n">
        <v>200</v>
      </c>
      <c r="H138" s="7" t="str">
        <f aca="false">F138&amp;"–"&amp;G138</f>
        <v>100–200</v>
      </c>
      <c r="I138" s="12" t="n">
        <v>10.085</v>
      </c>
      <c r="J138" s="12" t="n">
        <v>0.124</v>
      </c>
      <c r="K138" s="13" t="n">
        <f aca="false">I138-J138</f>
        <v>9.961</v>
      </c>
      <c r="L138" s="14" t="n">
        <f aca="false">IF(I138=0,"",100*J138/I138)</f>
        <v>1.22954883490332</v>
      </c>
      <c r="M138" s="12" t="n">
        <v>10.623</v>
      </c>
      <c r="N138" s="12" t="n">
        <v>0.127</v>
      </c>
      <c r="O138" s="15" t="n">
        <v>0.9494</v>
      </c>
      <c r="P138" s="15" t="n">
        <v>0.9825</v>
      </c>
      <c r="Q138" s="11"/>
    </row>
    <row r="139" customFormat="false" ht="15" hidden="false" customHeight="false" outlineLevel="0" collapsed="false">
      <c r="A139" s="7" t="str">
        <f aca="false">D139&amp;"-"&amp;TEXT(E139,"00")&amp;"-"&amp;H139&amp;"-"&amp;B139</f>
        <v>MP-05-200–300-dry</v>
      </c>
      <c r="B139" s="8" t="s">
        <v>67</v>
      </c>
      <c r="C139" s="8" t="s">
        <v>68</v>
      </c>
      <c r="D139" s="8" t="s">
        <v>48</v>
      </c>
      <c r="E139" s="8" t="n">
        <v>5</v>
      </c>
      <c r="F139" s="8" t="n">
        <v>200</v>
      </c>
      <c r="G139" s="8" t="n">
        <v>300</v>
      </c>
      <c r="H139" s="7" t="str">
        <f aca="false">F139&amp;"–"&amp;G139</f>
        <v>200–300</v>
      </c>
      <c r="I139" s="12" t="n">
        <v>9.26</v>
      </c>
      <c r="J139" s="12" t="n">
        <v>0.174</v>
      </c>
      <c r="K139" s="13" t="n">
        <f aca="false">I139-J139</f>
        <v>9.086</v>
      </c>
      <c r="L139" s="14" t="n">
        <f aca="false">IF(I139=0,"",100*J139/I139)</f>
        <v>1.87904967602592</v>
      </c>
      <c r="M139" s="12" t="n">
        <v>9.714</v>
      </c>
      <c r="N139" s="12" t="n">
        <v>0.187</v>
      </c>
      <c r="O139" s="15" t="n">
        <v>0.9532</v>
      </c>
      <c r="P139" s="15" t="n">
        <v>0.9327</v>
      </c>
      <c r="Q139" s="11"/>
    </row>
    <row r="140" customFormat="false" ht="15" hidden="false" customHeight="false" outlineLevel="0" collapsed="false">
      <c r="A140" s="7" t="str">
        <f aca="false">D140&amp;"-"&amp;TEXT(E140,"00")&amp;"-"&amp;H140&amp;"-"&amp;B140</f>
        <v>MP-06-0–100-dry</v>
      </c>
      <c r="B140" s="8" t="s">
        <v>67</v>
      </c>
      <c r="C140" s="8" t="s">
        <v>68</v>
      </c>
      <c r="D140" s="8" t="s">
        <v>48</v>
      </c>
      <c r="E140" s="8" t="n">
        <v>6</v>
      </c>
      <c r="F140" s="8" t="n">
        <v>0</v>
      </c>
      <c r="G140" s="8" t="n">
        <v>100</v>
      </c>
      <c r="H140" s="7" t="str">
        <f aca="false">F140&amp;"–"&amp;G140</f>
        <v>0–100</v>
      </c>
      <c r="I140" s="12" t="n">
        <v>14.188</v>
      </c>
      <c r="J140" s="12" t="n">
        <v>0.205</v>
      </c>
      <c r="K140" s="13" t="n">
        <f aca="false">I140-J140</f>
        <v>13.983</v>
      </c>
      <c r="L140" s="14" t="n">
        <f aca="false">IF(I140=0,"",100*J140/I140)</f>
        <v>1.44488299971807</v>
      </c>
      <c r="M140" s="12" t="n">
        <v>14.944</v>
      </c>
      <c r="N140" s="12" t="n">
        <v>0.22</v>
      </c>
      <c r="O140" s="15" t="n">
        <v>0.9494</v>
      </c>
      <c r="P140" s="15" t="n">
        <v>0.9346</v>
      </c>
      <c r="Q140" s="11"/>
    </row>
    <row r="141" customFormat="false" ht="15" hidden="false" customHeight="false" outlineLevel="0" collapsed="false">
      <c r="A141" s="7" t="str">
        <f aca="false">D141&amp;"-"&amp;TEXT(E141,"00")&amp;"-"&amp;H141&amp;"-"&amp;B141</f>
        <v>MP-06-100–200-dry</v>
      </c>
      <c r="B141" s="8" t="s">
        <v>67</v>
      </c>
      <c r="C141" s="8" t="s">
        <v>68</v>
      </c>
      <c r="D141" s="8" t="s">
        <v>48</v>
      </c>
      <c r="E141" s="8" t="n">
        <v>6</v>
      </c>
      <c r="F141" s="8" t="n">
        <v>100</v>
      </c>
      <c r="G141" s="8" t="n">
        <v>200</v>
      </c>
      <c r="H141" s="7" t="str">
        <f aca="false">F141&amp;"–"&amp;G141</f>
        <v>100–200</v>
      </c>
      <c r="I141" s="12" t="n">
        <v>10.621</v>
      </c>
      <c r="J141" s="12" t="n">
        <v>0.155</v>
      </c>
      <c r="K141" s="13" t="n">
        <f aca="false">I141-J141</f>
        <v>10.466</v>
      </c>
      <c r="L141" s="14" t="n">
        <f aca="false">IF(I141=0,"",100*J141/I141)</f>
        <v>1.45937294040109</v>
      </c>
      <c r="M141" s="12" t="n">
        <v>11.187</v>
      </c>
      <c r="N141" s="12" t="n">
        <v>0.158</v>
      </c>
      <c r="O141" s="15" t="n">
        <v>0.9494</v>
      </c>
      <c r="P141" s="15" t="n">
        <v>0.9825</v>
      </c>
      <c r="Q141" s="11"/>
    </row>
    <row r="142" customFormat="false" ht="15" hidden="false" customHeight="false" outlineLevel="0" collapsed="false">
      <c r="A142" s="7" t="str">
        <f aca="false">D142&amp;"-"&amp;TEXT(E142,"00")&amp;"-"&amp;H142&amp;"-"&amp;B142</f>
        <v>MP-06-200–300-dry</v>
      </c>
      <c r="B142" s="8" t="s">
        <v>67</v>
      </c>
      <c r="C142" s="8" t="s">
        <v>68</v>
      </c>
      <c r="D142" s="8" t="s">
        <v>48</v>
      </c>
      <c r="E142" s="8" t="n">
        <v>6</v>
      </c>
      <c r="F142" s="8" t="n">
        <v>200</v>
      </c>
      <c r="G142" s="8" t="n">
        <v>300</v>
      </c>
      <c r="H142" s="7" t="str">
        <f aca="false">F142&amp;"–"&amp;G142</f>
        <v>200–300</v>
      </c>
      <c r="I142" s="12" t="n">
        <v>7.805</v>
      </c>
      <c r="J142" s="12" t="n">
        <v>0.087</v>
      </c>
      <c r="K142" s="13" t="n">
        <f aca="false">I142-J142</f>
        <v>7.718</v>
      </c>
      <c r="L142" s="14" t="n">
        <f aca="false">IF(I142=0,"",100*J142/I142)</f>
        <v>1.11467008327995</v>
      </c>
      <c r="M142" s="12" t="n">
        <v>8.189</v>
      </c>
      <c r="N142" s="12" t="n">
        <v>0.093</v>
      </c>
      <c r="O142" s="15" t="n">
        <v>0.9532</v>
      </c>
      <c r="P142" s="15" t="n">
        <v>0.9327</v>
      </c>
      <c r="Q142" s="11"/>
    </row>
    <row r="143" customFormat="false" ht="15" hidden="false" customHeight="false" outlineLevel="0" collapsed="false">
      <c r="A143" s="7" t="str">
        <f aca="false">D143&amp;"-"&amp;TEXT(E143,"00")&amp;"-"&amp;H143&amp;"-"&amp;B143</f>
        <v>MP-07-0–100-dry</v>
      </c>
      <c r="B143" s="8" t="s">
        <v>67</v>
      </c>
      <c r="C143" s="8" t="s">
        <v>68</v>
      </c>
      <c r="D143" s="8" t="s">
        <v>48</v>
      </c>
      <c r="E143" s="8" t="n">
        <v>7</v>
      </c>
      <c r="F143" s="8" t="n">
        <v>0</v>
      </c>
      <c r="G143" s="8" t="n">
        <v>100</v>
      </c>
      <c r="H143" s="7" t="str">
        <f aca="false">F143&amp;"–"&amp;G143</f>
        <v>0–100</v>
      </c>
      <c r="I143" s="12" t="n">
        <v>12.578</v>
      </c>
      <c r="J143" s="12" t="n">
        <v>0.292</v>
      </c>
      <c r="K143" s="13" t="n">
        <f aca="false">I143-J143</f>
        <v>12.286</v>
      </c>
      <c r="L143" s="14" t="n">
        <f aca="false">IF(I143=0,"",100*J143/I143)</f>
        <v>2.32151375417396</v>
      </c>
      <c r="M143" s="12" t="n">
        <v>13.249</v>
      </c>
      <c r="N143" s="12" t="n">
        <v>0.312</v>
      </c>
      <c r="O143" s="15" t="n">
        <v>0.9494</v>
      </c>
      <c r="P143" s="15" t="n">
        <v>0.9346</v>
      </c>
      <c r="Q143" s="11"/>
    </row>
    <row r="144" customFormat="false" ht="15" hidden="false" customHeight="false" outlineLevel="0" collapsed="false">
      <c r="A144" s="7" t="str">
        <f aca="false">D144&amp;"-"&amp;TEXT(E144,"00")&amp;"-"&amp;H144&amp;"-"&amp;B144</f>
        <v>MP-07-100–200-dry</v>
      </c>
      <c r="B144" s="8" t="s">
        <v>67</v>
      </c>
      <c r="C144" s="8" t="s">
        <v>68</v>
      </c>
      <c r="D144" s="8" t="s">
        <v>48</v>
      </c>
      <c r="E144" s="8" t="n">
        <v>7</v>
      </c>
      <c r="F144" s="8" t="n">
        <v>100</v>
      </c>
      <c r="G144" s="8" t="n">
        <v>200</v>
      </c>
      <c r="H144" s="7" t="str">
        <f aca="false">F144&amp;"–"&amp;G144</f>
        <v>100–200</v>
      </c>
      <c r="I144" s="12" t="n">
        <v>11.826</v>
      </c>
      <c r="J144" s="12" t="n">
        <v>0.062</v>
      </c>
      <c r="K144" s="13" t="n">
        <f aca="false">I144-J144</f>
        <v>11.764</v>
      </c>
      <c r="L144" s="14" t="n">
        <f aca="false">IF(I144=0,"",100*J144/I144)</f>
        <v>0.524268560798241</v>
      </c>
      <c r="M144" s="12" t="n">
        <v>12.457</v>
      </c>
      <c r="N144" s="12" t="n">
        <v>0.063</v>
      </c>
      <c r="O144" s="15" t="n">
        <v>0.9494</v>
      </c>
      <c r="P144" s="15" t="n">
        <v>0.9825</v>
      </c>
      <c r="Q144" s="11"/>
    </row>
    <row r="145" customFormat="false" ht="15" hidden="false" customHeight="false" outlineLevel="0" collapsed="false">
      <c r="A145" s="7" t="str">
        <f aca="false">D145&amp;"-"&amp;TEXT(E145,"00")&amp;"-"&amp;H145&amp;"-"&amp;B145</f>
        <v>MP-07-200–300-dry</v>
      </c>
      <c r="B145" s="8" t="s">
        <v>67</v>
      </c>
      <c r="C145" s="8" t="s">
        <v>68</v>
      </c>
      <c r="D145" s="8" t="s">
        <v>48</v>
      </c>
      <c r="E145" s="8" t="n">
        <v>7</v>
      </c>
      <c r="F145" s="8" t="n">
        <v>200</v>
      </c>
      <c r="G145" s="8" t="n">
        <v>300</v>
      </c>
      <c r="H145" s="7" t="str">
        <f aca="false">F145&amp;"–"&amp;G145</f>
        <v>200–300</v>
      </c>
      <c r="I145" s="12" t="n">
        <v>9.741</v>
      </c>
      <c r="J145" s="12" t="n">
        <v>0.116</v>
      </c>
      <c r="K145" s="13" t="n">
        <f aca="false">I145-J145</f>
        <v>9.625</v>
      </c>
      <c r="L145" s="14" t="n">
        <f aca="false">IF(I145=0,"",100*J145/I145)</f>
        <v>1.19084282927831</v>
      </c>
      <c r="M145" s="12" t="n">
        <v>10.219</v>
      </c>
      <c r="N145" s="12" t="n">
        <v>0.125</v>
      </c>
      <c r="O145" s="15" t="n">
        <v>0.9532</v>
      </c>
      <c r="P145" s="15" t="n">
        <v>0.9327</v>
      </c>
      <c r="Q145" s="11"/>
    </row>
    <row r="146" customFormat="false" ht="15" hidden="false" customHeight="false" outlineLevel="0" collapsed="false">
      <c r="A146" s="7" t="str">
        <f aca="false">D146&amp;"-"&amp;TEXT(E146,"00")&amp;"-"&amp;H146&amp;"-"&amp;B146</f>
        <v>MP-08-0–100-dry</v>
      </c>
      <c r="B146" s="8" t="s">
        <v>67</v>
      </c>
      <c r="C146" s="8" t="s">
        <v>68</v>
      </c>
      <c r="D146" s="8" t="s">
        <v>48</v>
      </c>
      <c r="E146" s="8" t="n">
        <v>8</v>
      </c>
      <c r="F146" s="8" t="n">
        <v>0</v>
      </c>
      <c r="G146" s="8" t="n">
        <v>100</v>
      </c>
      <c r="H146" s="7" t="str">
        <f aca="false">F146&amp;"–"&amp;G146</f>
        <v>0–100</v>
      </c>
      <c r="I146" s="12" t="n">
        <v>19.657</v>
      </c>
      <c r="J146" s="12" t="n">
        <v>0.58</v>
      </c>
      <c r="K146" s="13" t="n">
        <f aca="false">I146-J146</f>
        <v>19.077</v>
      </c>
      <c r="L146" s="14" t="n">
        <f aca="false">IF(I146=0,"",100*J146/I146)</f>
        <v>2.95060283868342</v>
      </c>
      <c r="M146" s="12" t="n">
        <v>20.705</v>
      </c>
      <c r="N146" s="12" t="n">
        <v>0.62</v>
      </c>
      <c r="O146" s="15" t="n">
        <v>0.9494</v>
      </c>
      <c r="P146" s="15" t="n">
        <v>0.9346</v>
      </c>
      <c r="Q146" s="11"/>
    </row>
    <row r="147" customFormat="false" ht="15" hidden="false" customHeight="false" outlineLevel="0" collapsed="false">
      <c r="A147" s="7" t="str">
        <f aca="false">D147&amp;"-"&amp;TEXT(E147,"00")&amp;"-"&amp;H147&amp;"-"&amp;B147</f>
        <v>MP-08-100–200-dry</v>
      </c>
      <c r="B147" s="8" t="s">
        <v>67</v>
      </c>
      <c r="C147" s="8" t="s">
        <v>68</v>
      </c>
      <c r="D147" s="8" t="s">
        <v>48</v>
      </c>
      <c r="E147" s="8" t="n">
        <v>8</v>
      </c>
      <c r="F147" s="8" t="n">
        <v>100</v>
      </c>
      <c r="G147" s="8" t="n">
        <v>200</v>
      </c>
      <c r="H147" s="7" t="str">
        <f aca="false">F147&amp;"–"&amp;G147</f>
        <v>100–200</v>
      </c>
      <c r="I147" s="12" t="n">
        <v>12.706</v>
      </c>
      <c r="J147" s="12" t="n">
        <v>0.093</v>
      </c>
      <c r="K147" s="13" t="n">
        <f aca="false">I147-J147</f>
        <v>12.613</v>
      </c>
      <c r="L147" s="14" t="n">
        <f aca="false">IF(I147=0,"",100*J147/I147)</f>
        <v>0.731937667243822</v>
      </c>
      <c r="M147" s="12" t="n">
        <v>13.383</v>
      </c>
      <c r="N147" s="12" t="n">
        <v>0.095</v>
      </c>
      <c r="O147" s="15" t="n">
        <v>0.9494</v>
      </c>
      <c r="P147" s="15" t="n">
        <v>0.9825</v>
      </c>
      <c r="Q147" s="11"/>
    </row>
    <row r="148" customFormat="false" ht="15" hidden="false" customHeight="false" outlineLevel="0" collapsed="false">
      <c r="A148" s="7" t="str">
        <f aca="false">D148&amp;"-"&amp;TEXT(E148,"00")&amp;"-"&amp;H148&amp;"-"&amp;B148</f>
        <v>MP-08-200–300-dry</v>
      </c>
      <c r="B148" s="8" t="s">
        <v>67</v>
      </c>
      <c r="C148" s="8" t="s">
        <v>68</v>
      </c>
      <c r="D148" s="8" t="s">
        <v>48</v>
      </c>
      <c r="E148" s="8" t="n">
        <v>8</v>
      </c>
      <c r="F148" s="8" t="n">
        <v>200</v>
      </c>
      <c r="G148" s="8" t="n">
        <v>300</v>
      </c>
      <c r="H148" s="7" t="str">
        <f aca="false">F148&amp;"–"&amp;G148</f>
        <v>200–300</v>
      </c>
      <c r="I148" s="12" t="n">
        <v>12.899</v>
      </c>
      <c r="J148" s="12" t="n">
        <v>0.116</v>
      </c>
      <c r="K148" s="13" t="n">
        <f aca="false">I148-J148</f>
        <v>12.783</v>
      </c>
      <c r="L148" s="14" t="n">
        <f aca="false">IF(I148=0,"",100*J148/I148)</f>
        <v>0.899294518954958</v>
      </c>
      <c r="M148" s="12" t="n">
        <v>13.533</v>
      </c>
      <c r="N148" s="12" t="n">
        <v>0.125</v>
      </c>
      <c r="O148" s="15" t="n">
        <v>0.9532</v>
      </c>
      <c r="P148" s="15" t="n">
        <v>0.9327</v>
      </c>
      <c r="Q148" s="11"/>
    </row>
    <row r="149" customFormat="false" ht="15" hidden="false" customHeight="false" outlineLevel="0" collapsed="false">
      <c r="A149" s="7" t="str">
        <f aca="false">D149&amp;"-"&amp;TEXT(E149,"00")&amp;"-"&amp;H149&amp;"-"&amp;B149</f>
        <v>MP-09-0–100-dry</v>
      </c>
      <c r="B149" s="8" t="s">
        <v>67</v>
      </c>
      <c r="C149" s="8" t="s">
        <v>68</v>
      </c>
      <c r="D149" s="8" t="s">
        <v>48</v>
      </c>
      <c r="E149" s="8" t="n">
        <v>9</v>
      </c>
      <c r="F149" s="8" t="n">
        <v>0</v>
      </c>
      <c r="G149" s="8" t="n">
        <v>100</v>
      </c>
      <c r="H149" s="7" t="str">
        <f aca="false">F149&amp;"–"&amp;G149</f>
        <v>0–100</v>
      </c>
      <c r="I149" s="12" t="n">
        <v>13.925</v>
      </c>
      <c r="J149" s="12" t="n">
        <v>0.325</v>
      </c>
      <c r="K149" s="13" t="n">
        <f aca="false">I149-J149</f>
        <v>13.6</v>
      </c>
      <c r="L149" s="14" t="n">
        <f aca="false">IF(I149=0,"",100*J149/I149)</f>
        <v>2.33393177737882</v>
      </c>
      <c r="M149" s="12" t="n">
        <v>14.667</v>
      </c>
      <c r="N149" s="12" t="n">
        <v>0.348</v>
      </c>
      <c r="O149" s="15" t="n">
        <v>0.9494</v>
      </c>
      <c r="P149" s="15" t="n">
        <v>0.9346</v>
      </c>
      <c r="Q149" s="11"/>
    </row>
    <row r="150" customFormat="false" ht="15" hidden="false" customHeight="false" outlineLevel="0" collapsed="false">
      <c r="A150" s="7" t="str">
        <f aca="false">D150&amp;"-"&amp;TEXT(E150,"00")&amp;"-"&amp;H150&amp;"-"&amp;B150</f>
        <v>MP-09-100–200-dry</v>
      </c>
      <c r="B150" s="8" t="s">
        <v>67</v>
      </c>
      <c r="C150" s="8" t="s">
        <v>68</v>
      </c>
      <c r="D150" s="8" t="s">
        <v>48</v>
      </c>
      <c r="E150" s="8" t="n">
        <v>9</v>
      </c>
      <c r="F150" s="8" t="n">
        <v>100</v>
      </c>
      <c r="G150" s="8" t="n">
        <v>200</v>
      </c>
      <c r="H150" s="7" t="str">
        <f aca="false">F150&amp;"–"&amp;G150</f>
        <v>100–200</v>
      </c>
      <c r="I150" s="12" t="n">
        <v>11.534</v>
      </c>
      <c r="J150" s="12" t="n">
        <v>0.155</v>
      </c>
      <c r="K150" s="13" t="n">
        <f aca="false">I150-J150</f>
        <v>11.379</v>
      </c>
      <c r="L150" s="14" t="n">
        <f aca="false">IF(I150=0,"",100*J150/I150)</f>
        <v>1.3438529564765</v>
      </c>
      <c r="M150" s="12" t="n">
        <v>12.149</v>
      </c>
      <c r="N150" s="12" t="n">
        <v>0.158</v>
      </c>
      <c r="O150" s="15" t="n">
        <v>0.9494</v>
      </c>
      <c r="P150" s="15" t="n">
        <v>0.9825</v>
      </c>
      <c r="Q150" s="11"/>
    </row>
    <row r="151" customFormat="false" ht="15" hidden="false" customHeight="false" outlineLevel="0" collapsed="false">
      <c r="A151" s="7" t="str">
        <f aca="false">D151&amp;"-"&amp;TEXT(E151,"00")&amp;"-"&amp;H151&amp;"-"&amp;B151</f>
        <v>MP-09-200–300-dry</v>
      </c>
      <c r="B151" s="8" t="s">
        <v>67</v>
      </c>
      <c r="C151" s="8" t="s">
        <v>68</v>
      </c>
      <c r="D151" s="8" t="s">
        <v>48</v>
      </c>
      <c r="E151" s="8" t="n">
        <v>9</v>
      </c>
      <c r="F151" s="8" t="n">
        <v>200</v>
      </c>
      <c r="G151" s="8" t="n">
        <v>300</v>
      </c>
      <c r="H151" s="7" t="str">
        <f aca="false">F151&amp;"–"&amp;G151</f>
        <v>200–300</v>
      </c>
      <c r="I151" s="12" t="n">
        <v>9.882</v>
      </c>
      <c r="J151" s="12" t="n">
        <v>0.203</v>
      </c>
      <c r="K151" s="13" t="n">
        <f aca="false">I151-J151</f>
        <v>9.679</v>
      </c>
      <c r="L151" s="14" t="n">
        <f aca="false">IF(I151=0,"",100*J151/I151)</f>
        <v>2.05424003238211</v>
      </c>
      <c r="M151" s="12" t="n">
        <v>10.367</v>
      </c>
      <c r="N151" s="12" t="n">
        <v>0.218</v>
      </c>
      <c r="O151" s="15" t="n">
        <v>0.9532</v>
      </c>
      <c r="P151" s="15" t="n">
        <v>0.9327</v>
      </c>
      <c r="Q151" s="11"/>
    </row>
    <row r="152" customFormat="false" ht="15" hidden="false" customHeight="false" outlineLevel="0" collapsed="false">
      <c r="A152" s="7" t="str">
        <f aca="false">D152&amp;"-"&amp;TEXT(E152,"00")&amp;"-"&amp;H152&amp;"-"&amp;B152</f>
        <v>MP-10-0–100-dry</v>
      </c>
      <c r="B152" s="8" t="s">
        <v>67</v>
      </c>
      <c r="C152" s="8" t="s">
        <v>68</v>
      </c>
      <c r="D152" s="8" t="s">
        <v>48</v>
      </c>
      <c r="E152" s="8" t="n">
        <v>10</v>
      </c>
      <c r="F152" s="8" t="n">
        <v>0</v>
      </c>
      <c r="G152" s="8" t="n">
        <v>100</v>
      </c>
      <c r="H152" s="7" t="str">
        <f aca="false">F152&amp;"–"&amp;G152</f>
        <v>0–100</v>
      </c>
      <c r="I152" s="12" t="n">
        <v>13.591</v>
      </c>
      <c r="J152" s="12" t="n">
        <v>0.236</v>
      </c>
      <c r="K152" s="13" t="n">
        <f aca="false">I152-J152</f>
        <v>13.355</v>
      </c>
      <c r="L152" s="14" t="n">
        <f aca="false">IF(I152=0,"",100*J152/I152)</f>
        <v>1.73644323449341</v>
      </c>
      <c r="M152" s="12" t="n">
        <v>14.315</v>
      </c>
      <c r="N152" s="12" t="n">
        <v>0.253</v>
      </c>
      <c r="O152" s="15" t="n">
        <v>0.9494</v>
      </c>
      <c r="P152" s="15" t="n">
        <v>0.9346</v>
      </c>
      <c r="Q152" s="11"/>
    </row>
    <row r="153" customFormat="false" ht="15" hidden="false" customHeight="false" outlineLevel="0" collapsed="false">
      <c r="A153" s="7" t="str">
        <f aca="false">D153&amp;"-"&amp;TEXT(E153,"00")&amp;"-"&amp;H153&amp;"-"&amp;B153</f>
        <v>MP-10-100–200-dry</v>
      </c>
      <c r="B153" s="8" t="s">
        <v>67</v>
      </c>
      <c r="C153" s="8" t="s">
        <v>68</v>
      </c>
      <c r="D153" s="8" t="s">
        <v>48</v>
      </c>
      <c r="E153" s="8" t="n">
        <v>10</v>
      </c>
      <c r="F153" s="8" t="n">
        <v>100</v>
      </c>
      <c r="G153" s="8" t="n">
        <v>200</v>
      </c>
      <c r="H153" s="7" t="str">
        <f aca="false">F153&amp;"–"&amp;G153</f>
        <v>100–200</v>
      </c>
      <c r="I153" s="12" t="n">
        <v>11.896</v>
      </c>
      <c r="J153" s="12" t="n">
        <v>0.155</v>
      </c>
      <c r="K153" s="13" t="n">
        <f aca="false">I153-J153</f>
        <v>11.741</v>
      </c>
      <c r="L153" s="14" t="n">
        <f aca="false">IF(I153=0,"",100*J153/I153)</f>
        <v>1.30295897780767</v>
      </c>
      <c r="M153" s="12" t="n">
        <v>12.53</v>
      </c>
      <c r="N153" s="12" t="n">
        <v>0.158</v>
      </c>
      <c r="O153" s="15" t="n">
        <v>0.9494</v>
      </c>
      <c r="P153" s="15" t="n">
        <v>0.9825</v>
      </c>
      <c r="Q153" s="11"/>
    </row>
    <row r="154" customFormat="false" ht="15" hidden="false" customHeight="false" outlineLevel="0" collapsed="false">
      <c r="A154" s="7" t="str">
        <f aca="false">D154&amp;"-"&amp;TEXT(E154,"00")&amp;"-"&amp;H154&amp;"-"&amp;B154</f>
        <v>MP-10-200–300-dry</v>
      </c>
      <c r="B154" s="8" t="s">
        <v>67</v>
      </c>
      <c r="C154" s="8" t="s">
        <v>68</v>
      </c>
      <c r="D154" s="8" t="s">
        <v>48</v>
      </c>
      <c r="E154" s="8" t="n">
        <v>10</v>
      </c>
      <c r="F154" s="8" t="n">
        <v>200</v>
      </c>
      <c r="G154" s="8" t="n">
        <v>300</v>
      </c>
      <c r="H154" s="7" t="str">
        <f aca="false">F154&amp;"–"&amp;G154</f>
        <v>200–300</v>
      </c>
      <c r="I154" s="12" t="n">
        <v>9.27</v>
      </c>
      <c r="J154" s="12" t="n">
        <v>0.174</v>
      </c>
      <c r="K154" s="13" t="n">
        <f aca="false">I154-J154</f>
        <v>9.096</v>
      </c>
      <c r="L154" s="14" t="n">
        <f aca="false">IF(I154=0,"",100*J154/I154)</f>
        <v>1.87702265372168</v>
      </c>
      <c r="M154" s="12" t="n">
        <v>9.725</v>
      </c>
      <c r="N154" s="12" t="n">
        <v>0.186</v>
      </c>
      <c r="O154" s="15" t="n">
        <v>0.9532</v>
      </c>
      <c r="P154" s="15" t="n">
        <v>0.9327</v>
      </c>
      <c r="Q154" s="11"/>
    </row>
    <row r="155" customFormat="false" ht="15" hidden="false" customHeight="false" outlineLevel="0" collapsed="false">
      <c r="A155" s="7" t="str">
        <f aca="false">D155&amp;"-"&amp;TEXT(E155,"00")&amp;"-"&amp;H155&amp;"-"&amp;B155</f>
        <v>MP-11-0–100-dry</v>
      </c>
      <c r="B155" s="8" t="s">
        <v>67</v>
      </c>
      <c r="C155" s="8" t="s">
        <v>68</v>
      </c>
      <c r="D155" s="8" t="s">
        <v>48</v>
      </c>
      <c r="E155" s="8" t="n">
        <v>11</v>
      </c>
      <c r="F155" s="8" t="n">
        <v>0</v>
      </c>
      <c r="G155" s="8" t="n">
        <v>100</v>
      </c>
      <c r="H155" s="7" t="str">
        <f aca="false">F155&amp;"–"&amp;G155</f>
        <v>0–100</v>
      </c>
      <c r="I155" s="12" t="n">
        <v>22.88</v>
      </c>
      <c r="J155" s="12" t="n">
        <v>0.057</v>
      </c>
      <c r="K155" s="13" t="n">
        <f aca="false">I155-J155</f>
        <v>22.823</v>
      </c>
      <c r="L155" s="14" t="n">
        <f aca="false">IF(I155=0,"",100*J155/I155)</f>
        <v>0.249125874125874</v>
      </c>
      <c r="M155" s="12" t="n">
        <v>24.099</v>
      </c>
      <c r="N155" s="12" t="n">
        <v>0.061</v>
      </c>
      <c r="O155" s="15" t="n">
        <v>0.9494</v>
      </c>
      <c r="P155" s="15" t="n">
        <v>0.9346</v>
      </c>
      <c r="Q155" s="11"/>
    </row>
    <row r="156" customFormat="false" ht="15" hidden="false" customHeight="false" outlineLevel="0" collapsed="false">
      <c r="A156" s="7" t="str">
        <f aca="false">D156&amp;"-"&amp;TEXT(E156,"00")&amp;"-"&amp;H156&amp;"-"&amp;B156</f>
        <v>MP-11-100–200-dry</v>
      </c>
      <c r="B156" s="8" t="s">
        <v>67</v>
      </c>
      <c r="C156" s="8" t="s">
        <v>68</v>
      </c>
      <c r="D156" s="8" t="s">
        <v>48</v>
      </c>
      <c r="E156" s="8" t="n">
        <v>11</v>
      </c>
      <c r="F156" s="8" t="n">
        <v>100</v>
      </c>
      <c r="G156" s="8" t="n">
        <v>200</v>
      </c>
      <c r="H156" s="7" t="str">
        <f aca="false">F156&amp;"–"&amp;G156</f>
        <v>100–200</v>
      </c>
      <c r="I156" s="12" t="n">
        <v>17.397</v>
      </c>
      <c r="J156" s="12" t="n">
        <v>0.093</v>
      </c>
      <c r="K156" s="13" t="n">
        <f aca="false">I156-J156</f>
        <v>17.304</v>
      </c>
      <c r="L156" s="14" t="n">
        <f aca="false">IF(I156=0,"",100*J156/I156)</f>
        <v>0.534574926711502</v>
      </c>
      <c r="M156" s="12" t="n">
        <v>18.324</v>
      </c>
      <c r="N156" s="12" t="n">
        <v>0.095</v>
      </c>
      <c r="O156" s="15" t="n">
        <v>0.9494</v>
      </c>
      <c r="P156" s="15" t="n">
        <v>0.9825</v>
      </c>
      <c r="Q156" s="11"/>
    </row>
    <row r="157" customFormat="false" ht="15" hidden="false" customHeight="false" outlineLevel="0" collapsed="false">
      <c r="A157" s="7" t="str">
        <f aca="false">D157&amp;"-"&amp;TEXT(E157,"00")&amp;"-"&amp;H157&amp;"-"&amp;B157</f>
        <v>MP-11-200–300-dry</v>
      </c>
      <c r="B157" s="8" t="s">
        <v>67</v>
      </c>
      <c r="C157" s="8" t="s">
        <v>68</v>
      </c>
      <c r="D157" s="8" t="s">
        <v>48</v>
      </c>
      <c r="E157" s="8" t="n">
        <v>11</v>
      </c>
      <c r="F157" s="8" t="n">
        <v>200</v>
      </c>
      <c r="G157" s="8" t="n">
        <v>300</v>
      </c>
      <c r="H157" s="7" t="str">
        <f aca="false">F157&amp;"–"&amp;G157</f>
        <v>200–300</v>
      </c>
      <c r="I157" s="12" t="n">
        <v>15.077</v>
      </c>
      <c r="J157" s="12" t="n">
        <v>0.116</v>
      </c>
      <c r="K157" s="13" t="n">
        <f aca="false">I157-J157</f>
        <v>14.961</v>
      </c>
      <c r="L157" s="14" t="n">
        <f aca="false">IF(I157=0,"",100*J157/I157)</f>
        <v>0.769383829674339</v>
      </c>
      <c r="M157" s="12" t="n">
        <v>15.817</v>
      </c>
      <c r="N157" s="12" t="n">
        <v>0.125</v>
      </c>
      <c r="O157" s="15" t="n">
        <v>0.9532</v>
      </c>
      <c r="P157" s="15" t="n">
        <v>0.9327</v>
      </c>
      <c r="Q157" s="11"/>
    </row>
    <row r="158" customFormat="false" ht="15" hidden="false" customHeight="false" outlineLevel="0" collapsed="false">
      <c r="A158" s="7" t="str">
        <f aca="false">D158&amp;"-"&amp;TEXT(E158,"00")&amp;"-"&amp;H158&amp;"-"&amp;B158</f>
        <v>MP-12-0–100-dry</v>
      </c>
      <c r="B158" s="8" t="s">
        <v>67</v>
      </c>
      <c r="C158" s="8" t="s">
        <v>68</v>
      </c>
      <c r="D158" s="8" t="s">
        <v>48</v>
      </c>
      <c r="E158" s="8" t="n">
        <v>12</v>
      </c>
      <c r="F158" s="8" t="n">
        <v>0</v>
      </c>
      <c r="G158" s="8" t="n">
        <v>100</v>
      </c>
      <c r="H158" s="7" t="str">
        <f aca="false">F158&amp;"–"&amp;G158</f>
        <v>0–100</v>
      </c>
      <c r="I158" s="12" t="n">
        <v>13.303</v>
      </c>
      <c r="J158" s="12" t="n">
        <v>0.173</v>
      </c>
      <c r="K158" s="13" t="n">
        <f aca="false">I158-J158</f>
        <v>13.13</v>
      </c>
      <c r="L158" s="14" t="n">
        <f aca="false">IF(I158=0,"",100*J158/I158)</f>
        <v>1.30045854318575</v>
      </c>
      <c r="M158" s="12" t="n">
        <v>14.012</v>
      </c>
      <c r="N158" s="12" t="n">
        <v>0.185</v>
      </c>
      <c r="O158" s="15" t="n">
        <v>0.9494</v>
      </c>
      <c r="P158" s="15" t="n">
        <v>0.9346</v>
      </c>
      <c r="Q158" s="11"/>
    </row>
    <row r="159" customFormat="false" ht="15" hidden="false" customHeight="false" outlineLevel="0" collapsed="false">
      <c r="A159" s="7" t="str">
        <f aca="false">D159&amp;"-"&amp;TEXT(E159,"00")&amp;"-"&amp;H159&amp;"-"&amp;B159</f>
        <v>MP-12-100–200-dry</v>
      </c>
      <c r="B159" s="8" t="s">
        <v>67</v>
      </c>
      <c r="C159" s="8" t="s">
        <v>68</v>
      </c>
      <c r="D159" s="8" t="s">
        <v>48</v>
      </c>
      <c r="E159" s="8" t="n">
        <v>12</v>
      </c>
      <c r="F159" s="8" t="n">
        <v>100</v>
      </c>
      <c r="G159" s="8" t="n">
        <v>200</v>
      </c>
      <c r="H159" s="7" t="str">
        <f aca="false">F159&amp;"–"&amp;G159</f>
        <v>100–200</v>
      </c>
      <c r="I159" s="12" t="n">
        <v>11.685</v>
      </c>
      <c r="J159" s="12" t="n">
        <v>0.156</v>
      </c>
      <c r="K159" s="13" t="n">
        <f aca="false">I159-J159</f>
        <v>11.529</v>
      </c>
      <c r="L159" s="14" t="n">
        <f aca="false">IF(I159=0,"",100*J159/I159)</f>
        <v>1.33504492939666</v>
      </c>
      <c r="M159" s="12" t="n">
        <v>12.307</v>
      </c>
      <c r="N159" s="12" t="n">
        <v>0.158</v>
      </c>
      <c r="O159" s="15" t="n">
        <v>0.9494</v>
      </c>
      <c r="P159" s="15" t="n">
        <v>0.9825</v>
      </c>
      <c r="Q159" s="11"/>
    </row>
    <row r="160" customFormat="false" ht="15" hidden="false" customHeight="false" outlineLevel="0" collapsed="false">
      <c r="A160" s="7" t="str">
        <f aca="false">D160&amp;"-"&amp;TEXT(E160,"00")&amp;"-"&amp;H160&amp;"-"&amp;B160</f>
        <v>MP-12-200–300-dry</v>
      </c>
      <c r="B160" s="8" t="s">
        <v>67</v>
      </c>
      <c r="C160" s="8" t="s">
        <v>68</v>
      </c>
      <c r="D160" s="8" t="s">
        <v>48</v>
      </c>
      <c r="E160" s="8" t="n">
        <v>12</v>
      </c>
      <c r="F160" s="8" t="n">
        <v>200</v>
      </c>
      <c r="G160" s="8" t="n">
        <v>300</v>
      </c>
      <c r="H160" s="7" t="str">
        <f aca="false">F160&amp;"–"&amp;G160</f>
        <v>200–300</v>
      </c>
      <c r="I160" s="12" t="n">
        <v>8.27</v>
      </c>
      <c r="J160" s="12" t="n">
        <v>0.232</v>
      </c>
      <c r="K160" s="13" t="n">
        <f aca="false">I160-J160</f>
        <v>8.038</v>
      </c>
      <c r="L160" s="14" t="n">
        <f aca="false">IF(I160=0,"",100*J160/I160)</f>
        <v>2.80532043530834</v>
      </c>
      <c r="M160" s="12" t="n">
        <v>8.676</v>
      </c>
      <c r="N160" s="12" t="n">
        <v>0.249</v>
      </c>
      <c r="O160" s="15" t="n">
        <v>0.9532</v>
      </c>
      <c r="P160" s="15" t="n">
        <v>0.9327</v>
      </c>
      <c r="Q160" s="11"/>
    </row>
    <row r="161" customFormat="false" ht="15" hidden="false" customHeight="false" outlineLevel="0" collapsed="false">
      <c r="A161" s="7" t="str">
        <f aca="false">D161&amp;"-"&amp;TEXT(E161,"00")&amp;"-"&amp;H161&amp;"-"&amp;B161</f>
        <v>MP-13-0–100-dry</v>
      </c>
      <c r="B161" s="8" t="s">
        <v>67</v>
      </c>
      <c r="C161" s="8" t="s">
        <v>68</v>
      </c>
      <c r="D161" s="8" t="s">
        <v>48</v>
      </c>
      <c r="E161" s="8" t="n">
        <v>13</v>
      </c>
      <c r="F161" s="8" t="n">
        <v>0</v>
      </c>
      <c r="G161" s="8" t="n">
        <v>100</v>
      </c>
      <c r="H161" s="7" t="str">
        <f aca="false">F161&amp;"–"&amp;G161</f>
        <v>0–100</v>
      </c>
      <c r="I161" s="12" t="n">
        <v>14.578</v>
      </c>
      <c r="J161" s="12" t="n">
        <v>0.383</v>
      </c>
      <c r="K161" s="13" t="n">
        <f aca="false">I161-J161</f>
        <v>14.195</v>
      </c>
      <c r="L161" s="14" t="n">
        <f aca="false">IF(I161=0,"",100*J161/I161)</f>
        <v>2.62724653587598</v>
      </c>
      <c r="M161" s="12" t="n">
        <v>15.355</v>
      </c>
      <c r="N161" s="12" t="n">
        <v>0.409</v>
      </c>
      <c r="O161" s="15" t="n">
        <v>0.9494</v>
      </c>
      <c r="P161" s="15" t="n">
        <v>0.9346</v>
      </c>
      <c r="Q161" s="11"/>
    </row>
    <row r="162" customFormat="false" ht="15" hidden="false" customHeight="false" outlineLevel="0" collapsed="false">
      <c r="A162" s="7" t="str">
        <f aca="false">D162&amp;"-"&amp;TEXT(E162,"00")&amp;"-"&amp;H162&amp;"-"&amp;B162</f>
        <v>MP-13-100–200-dry</v>
      </c>
      <c r="B162" s="8" t="s">
        <v>67</v>
      </c>
      <c r="C162" s="8" t="s">
        <v>68</v>
      </c>
      <c r="D162" s="8" t="s">
        <v>48</v>
      </c>
      <c r="E162" s="8" t="n">
        <v>13</v>
      </c>
      <c r="F162" s="8" t="n">
        <v>100</v>
      </c>
      <c r="G162" s="8" t="n">
        <v>200</v>
      </c>
      <c r="H162" s="7" t="str">
        <f aca="false">F162&amp;"–"&amp;G162</f>
        <v>100–200</v>
      </c>
      <c r="I162" s="12" t="n">
        <v>9.316</v>
      </c>
      <c r="J162" s="12" t="n">
        <v>0.062</v>
      </c>
      <c r="K162" s="13" t="n">
        <f aca="false">I162-J162</f>
        <v>9.254</v>
      </c>
      <c r="L162" s="14" t="n">
        <f aca="false">IF(I162=0,"",100*J162/I162)</f>
        <v>0.665521683125805</v>
      </c>
      <c r="M162" s="12" t="n">
        <v>9.813</v>
      </c>
      <c r="N162" s="12" t="n">
        <v>0.063</v>
      </c>
      <c r="O162" s="15" t="n">
        <v>0.9494</v>
      </c>
      <c r="P162" s="15" t="n">
        <v>0.9825</v>
      </c>
      <c r="Q162" s="11"/>
    </row>
    <row r="163" customFormat="false" ht="15" hidden="false" customHeight="false" outlineLevel="0" collapsed="false">
      <c r="A163" s="7" t="str">
        <f aca="false">D163&amp;"-"&amp;TEXT(E163,"00")&amp;"-"&amp;H163&amp;"-"&amp;B163</f>
        <v>MP-13-200–300-dry</v>
      </c>
      <c r="B163" s="8" t="s">
        <v>67</v>
      </c>
      <c r="C163" s="8" t="s">
        <v>68</v>
      </c>
      <c r="D163" s="8" t="s">
        <v>48</v>
      </c>
      <c r="E163" s="8" t="n">
        <v>13</v>
      </c>
      <c r="F163" s="8" t="n">
        <v>200</v>
      </c>
      <c r="G163" s="8" t="n">
        <v>300</v>
      </c>
      <c r="H163" s="7" t="str">
        <f aca="false">F163&amp;"–"&amp;G163</f>
        <v>200–300</v>
      </c>
      <c r="I163" s="12" t="n">
        <v>9.991</v>
      </c>
      <c r="J163" s="12" t="n">
        <v>0.233</v>
      </c>
      <c r="K163" s="13" t="n">
        <f aca="false">I163-J163</f>
        <v>9.758</v>
      </c>
      <c r="L163" s="14" t="n">
        <f aca="false">IF(I163=0,"",100*J163/I163)</f>
        <v>2.3320988890001</v>
      </c>
      <c r="M163" s="12" t="n">
        <v>10.481</v>
      </c>
      <c r="N163" s="12" t="n">
        <v>0.25</v>
      </c>
      <c r="O163" s="15" t="n">
        <v>0.9532</v>
      </c>
      <c r="P163" s="15" t="n">
        <v>0.9327</v>
      </c>
      <c r="Q163" s="11"/>
    </row>
    <row r="164" customFormat="false" ht="15" hidden="false" customHeight="false" outlineLevel="0" collapsed="false">
      <c r="A164" s="7" t="str">
        <f aca="false">D164&amp;"-"&amp;TEXT(E164,"00")&amp;"-"&amp;H164&amp;"-"&amp;B164</f>
        <v>MP-14-0–100-dry</v>
      </c>
      <c r="B164" s="8" t="s">
        <v>67</v>
      </c>
      <c r="C164" s="8" t="s">
        <v>68</v>
      </c>
      <c r="D164" s="8" t="s">
        <v>48</v>
      </c>
      <c r="E164" s="8" t="n">
        <v>14</v>
      </c>
      <c r="F164" s="8" t="n">
        <v>0</v>
      </c>
      <c r="G164" s="8" t="n">
        <v>100</v>
      </c>
      <c r="H164" s="7" t="str">
        <f aca="false">F164&amp;"–"&amp;G164</f>
        <v>0–100</v>
      </c>
      <c r="I164" s="12" t="n">
        <v>10.015</v>
      </c>
      <c r="J164" s="12" t="n">
        <v>0.284</v>
      </c>
      <c r="K164" s="13" t="n">
        <f aca="false">I164-J164</f>
        <v>9.731</v>
      </c>
      <c r="L164" s="14" t="n">
        <f aca="false">IF(I164=0,"",100*J164/I164)</f>
        <v>2.83574638042936</v>
      </c>
      <c r="M164" s="12" t="n">
        <v>10.548</v>
      </c>
      <c r="N164" s="12" t="n">
        <v>0.304</v>
      </c>
      <c r="O164" s="15" t="n">
        <v>0.9494</v>
      </c>
      <c r="P164" s="15" t="n">
        <v>0.9346</v>
      </c>
      <c r="Q164" s="11"/>
    </row>
    <row r="165" customFormat="false" ht="15" hidden="false" customHeight="false" outlineLevel="0" collapsed="false">
      <c r="A165" s="7" t="str">
        <f aca="false">D165&amp;"-"&amp;TEXT(E165,"00")&amp;"-"&amp;H165&amp;"-"&amp;B165</f>
        <v>MP-14-100–200-dry</v>
      </c>
      <c r="B165" s="8" t="s">
        <v>67</v>
      </c>
      <c r="C165" s="8" t="s">
        <v>68</v>
      </c>
      <c r="D165" s="8" t="s">
        <v>48</v>
      </c>
      <c r="E165" s="8" t="n">
        <v>14</v>
      </c>
      <c r="F165" s="8" t="n">
        <v>100</v>
      </c>
      <c r="G165" s="8" t="n">
        <v>200</v>
      </c>
      <c r="H165" s="7" t="str">
        <f aca="false">F165&amp;"–"&amp;G165</f>
        <v>100–200</v>
      </c>
      <c r="I165" s="12" t="n">
        <v>9.942</v>
      </c>
      <c r="J165" s="12" t="n">
        <v>0.218</v>
      </c>
      <c r="K165" s="13" t="n">
        <f aca="false">I165-J165</f>
        <v>9.724</v>
      </c>
      <c r="L165" s="14" t="n">
        <f aca="false">IF(I165=0,"",100*J165/I165)</f>
        <v>2.19271776302555</v>
      </c>
      <c r="M165" s="12" t="n">
        <v>10.471</v>
      </c>
      <c r="N165" s="12" t="n">
        <v>0.221</v>
      </c>
      <c r="O165" s="15" t="n">
        <v>0.9494</v>
      </c>
      <c r="P165" s="15" t="n">
        <v>0.9825</v>
      </c>
      <c r="Q165" s="11"/>
    </row>
    <row r="166" customFormat="false" ht="15" hidden="false" customHeight="false" outlineLevel="0" collapsed="false">
      <c r="A166" s="7" t="str">
        <f aca="false">D166&amp;"-"&amp;TEXT(E166,"00")&amp;"-"&amp;H166&amp;"-"&amp;B166</f>
        <v>MP-14-200–300-dry</v>
      </c>
      <c r="B166" s="8" t="s">
        <v>67</v>
      </c>
      <c r="C166" s="8" t="s">
        <v>68</v>
      </c>
      <c r="D166" s="8" t="s">
        <v>48</v>
      </c>
      <c r="E166" s="8" t="n">
        <v>14</v>
      </c>
      <c r="F166" s="8" t="n">
        <v>200</v>
      </c>
      <c r="G166" s="8" t="n">
        <v>300</v>
      </c>
      <c r="H166" s="7" t="str">
        <f aca="false">F166&amp;"–"&amp;G166</f>
        <v>200–300</v>
      </c>
      <c r="I166" s="12" t="n">
        <v>7.058</v>
      </c>
      <c r="J166" s="12" t="n">
        <v>0.349</v>
      </c>
      <c r="K166" s="13" t="n">
        <f aca="false">I166-J166</f>
        <v>6.709</v>
      </c>
      <c r="L166" s="14" t="n">
        <f aca="false">IF(I166=0,"",100*J166/I166)</f>
        <v>4.94474355341457</v>
      </c>
      <c r="M166" s="12" t="n">
        <v>7.405</v>
      </c>
      <c r="N166" s="12" t="n">
        <v>0.375</v>
      </c>
      <c r="O166" s="15" t="n">
        <v>0.9532</v>
      </c>
      <c r="P166" s="15" t="n">
        <v>0.9327</v>
      </c>
      <c r="Q166" s="11"/>
    </row>
    <row r="167" customFormat="false" ht="15" hidden="false" customHeight="false" outlineLevel="0" collapsed="false">
      <c r="A167" s="7" t="str">
        <f aca="false">D167&amp;"-"&amp;TEXT(E167,"00")&amp;"-"&amp;H167&amp;"-"&amp;B167</f>
        <v>MP-15-0–100-dry</v>
      </c>
      <c r="B167" s="8" t="s">
        <v>67</v>
      </c>
      <c r="C167" s="8" t="s">
        <v>68</v>
      </c>
      <c r="D167" s="8" t="s">
        <v>48</v>
      </c>
      <c r="E167" s="8" t="n">
        <v>15</v>
      </c>
      <c r="F167" s="8" t="n">
        <v>0</v>
      </c>
      <c r="G167" s="8" t="n">
        <v>100</v>
      </c>
      <c r="H167" s="7" t="str">
        <f aca="false">F167&amp;"–"&amp;G167</f>
        <v>0–100</v>
      </c>
      <c r="I167" s="12" t="n">
        <v>17.384</v>
      </c>
      <c r="J167" s="12" t="n">
        <v>0.416</v>
      </c>
      <c r="K167" s="13" t="n">
        <f aca="false">I167-J167</f>
        <v>16.968</v>
      </c>
      <c r="L167" s="14" t="n">
        <f aca="false">IF(I167=0,"",100*J167/I167)</f>
        <v>2.39300506212609</v>
      </c>
      <c r="M167" s="12" t="n">
        <v>18.31</v>
      </c>
      <c r="N167" s="12" t="n">
        <v>0.445</v>
      </c>
      <c r="O167" s="15" t="n">
        <v>0.9494</v>
      </c>
      <c r="P167" s="15" t="n">
        <v>0.9346</v>
      </c>
      <c r="Q167" s="11"/>
    </row>
    <row r="168" customFormat="false" ht="15" hidden="false" customHeight="false" outlineLevel="0" collapsed="false">
      <c r="A168" s="7" t="str">
        <f aca="false">D168&amp;"-"&amp;TEXT(E168,"00")&amp;"-"&amp;H168&amp;"-"&amp;B168</f>
        <v>MP-15-100–200-dry</v>
      </c>
      <c r="B168" s="8" t="s">
        <v>67</v>
      </c>
      <c r="C168" s="8" t="s">
        <v>68</v>
      </c>
      <c r="D168" s="8" t="s">
        <v>48</v>
      </c>
      <c r="E168" s="8" t="n">
        <v>15</v>
      </c>
      <c r="F168" s="8" t="n">
        <v>100</v>
      </c>
      <c r="G168" s="8" t="n">
        <v>200</v>
      </c>
      <c r="H168" s="7" t="str">
        <f aca="false">F168&amp;"–"&amp;G168</f>
        <v>100–200</v>
      </c>
      <c r="I168" s="12" t="n">
        <v>10.985</v>
      </c>
      <c r="J168" s="12" t="n">
        <v>0.124</v>
      </c>
      <c r="K168" s="13" t="n">
        <f aca="false">I168-J168</f>
        <v>10.861</v>
      </c>
      <c r="L168" s="14" t="n">
        <f aca="false">IF(I168=0,"",100*J168/I168)</f>
        <v>1.12881201638598</v>
      </c>
      <c r="M168" s="12" t="n">
        <v>11.57</v>
      </c>
      <c r="N168" s="12" t="n">
        <v>0.126</v>
      </c>
      <c r="O168" s="15" t="n">
        <v>0.9494</v>
      </c>
      <c r="P168" s="15" t="n">
        <v>0.9825</v>
      </c>
      <c r="Q168" s="11"/>
    </row>
    <row r="169" customFormat="false" ht="15" hidden="false" customHeight="false" outlineLevel="0" collapsed="false">
      <c r="A169" s="7" t="str">
        <f aca="false">D169&amp;"-"&amp;TEXT(E169,"00")&amp;"-"&amp;H169&amp;"-"&amp;B169</f>
        <v>MP-15-200–300-dry</v>
      </c>
      <c r="B169" s="8" t="s">
        <v>67</v>
      </c>
      <c r="C169" s="8" t="s">
        <v>68</v>
      </c>
      <c r="D169" s="8" t="s">
        <v>48</v>
      </c>
      <c r="E169" s="8" t="n">
        <v>15</v>
      </c>
      <c r="F169" s="8" t="n">
        <v>200</v>
      </c>
      <c r="G169" s="8" t="n">
        <v>300</v>
      </c>
      <c r="H169" s="7" t="str">
        <f aca="false">F169&amp;"–"&amp;G169</f>
        <v>200–300</v>
      </c>
      <c r="I169" s="12" t="n">
        <v>8.889</v>
      </c>
      <c r="J169" s="12" t="n">
        <v>0.146</v>
      </c>
      <c r="K169" s="13" t="n">
        <f aca="false">I169-J169</f>
        <v>8.743</v>
      </c>
      <c r="L169" s="14" t="n">
        <f aca="false">IF(I169=0,"",100*J169/I169)</f>
        <v>1.64247946900664</v>
      </c>
      <c r="M169" s="12" t="n">
        <v>9.326</v>
      </c>
      <c r="N169" s="12" t="n">
        <v>0.156</v>
      </c>
      <c r="O169" s="15" t="n">
        <v>0.9532</v>
      </c>
      <c r="P169" s="15" t="n">
        <v>0.9327</v>
      </c>
      <c r="Q169" s="11"/>
    </row>
    <row r="170" customFormat="false" ht="15" hidden="false" customHeight="false" outlineLevel="0" collapsed="false">
      <c r="A170" s="7" t="str">
        <f aca="false">D170&amp;"-"&amp;TEXT(E170,"00")&amp;"-"&amp;H170&amp;"-"&amp;B170</f>
        <v>MP-16-0–100-dry</v>
      </c>
      <c r="B170" s="8" t="s">
        <v>67</v>
      </c>
      <c r="C170" s="8" t="s">
        <v>68</v>
      </c>
      <c r="D170" s="8" t="s">
        <v>48</v>
      </c>
      <c r="E170" s="8" t="n">
        <v>16</v>
      </c>
      <c r="F170" s="8" t="n">
        <v>0</v>
      </c>
      <c r="G170" s="8" t="n">
        <v>100</v>
      </c>
      <c r="H170" s="7" t="str">
        <f aca="false">F170&amp;"–"&amp;G170</f>
        <v>0–100</v>
      </c>
      <c r="I170" s="12" t="n">
        <v>14.504</v>
      </c>
      <c r="J170" s="12" t="n">
        <v>0.533</v>
      </c>
      <c r="K170" s="13" t="n">
        <f aca="false">I170-J170</f>
        <v>13.971</v>
      </c>
      <c r="L170" s="14" t="n">
        <f aca="false">IF(I170=0,"",100*J170/I170)</f>
        <v>3.67484831770546</v>
      </c>
      <c r="M170" s="12" t="n">
        <v>15.277</v>
      </c>
      <c r="N170" s="12" t="n">
        <v>0.57</v>
      </c>
      <c r="O170" s="15" t="n">
        <v>0.9494</v>
      </c>
      <c r="P170" s="15" t="n">
        <v>0.9346</v>
      </c>
      <c r="Q170" s="11"/>
    </row>
    <row r="171" customFormat="false" ht="15" hidden="false" customHeight="false" outlineLevel="0" collapsed="false">
      <c r="A171" s="7" t="str">
        <f aca="false">D171&amp;"-"&amp;TEXT(E171,"00")&amp;"-"&amp;H171&amp;"-"&amp;B171</f>
        <v>MP-16-100–200-dry</v>
      </c>
      <c r="B171" s="8" t="s">
        <v>67</v>
      </c>
      <c r="C171" s="8" t="s">
        <v>68</v>
      </c>
      <c r="D171" s="8" t="s">
        <v>48</v>
      </c>
      <c r="E171" s="8" t="n">
        <v>16</v>
      </c>
      <c r="F171" s="8" t="n">
        <v>100</v>
      </c>
      <c r="G171" s="8" t="n">
        <v>200</v>
      </c>
      <c r="H171" s="7" t="str">
        <f aca="false">F171&amp;"–"&amp;G171</f>
        <v>100–200</v>
      </c>
      <c r="I171" s="12" t="n">
        <v>11.943</v>
      </c>
      <c r="J171" s="12" t="n">
        <v>0.156</v>
      </c>
      <c r="K171" s="13" t="n">
        <f aca="false">I171-J171</f>
        <v>11.787</v>
      </c>
      <c r="L171" s="14" t="n">
        <f aca="false">IF(I171=0,"",100*J171/I171)</f>
        <v>1.30620447123838</v>
      </c>
      <c r="M171" s="12" t="n">
        <v>12.58</v>
      </c>
      <c r="N171" s="12" t="n">
        <v>0.158</v>
      </c>
      <c r="O171" s="15" t="n">
        <v>0.9494</v>
      </c>
      <c r="P171" s="15" t="n">
        <v>0.9825</v>
      </c>
      <c r="Q171" s="11"/>
    </row>
    <row r="172" customFormat="false" ht="15" hidden="false" customHeight="false" outlineLevel="0" collapsed="false">
      <c r="A172" s="7" t="str">
        <f aca="false">D172&amp;"-"&amp;TEXT(E172,"00")&amp;"-"&amp;H172&amp;"-"&amp;B172</f>
        <v>MP-16-200–300-dry</v>
      </c>
      <c r="B172" s="8" t="s">
        <v>67</v>
      </c>
      <c r="C172" s="8" t="s">
        <v>68</v>
      </c>
      <c r="D172" s="8" t="s">
        <v>48</v>
      </c>
      <c r="E172" s="8" t="n">
        <v>16</v>
      </c>
      <c r="F172" s="8" t="n">
        <v>200</v>
      </c>
      <c r="G172" s="8" t="n">
        <v>300</v>
      </c>
      <c r="H172" s="7" t="str">
        <f aca="false">F172&amp;"–"&amp;G172</f>
        <v>200–300</v>
      </c>
      <c r="I172" s="12" t="n">
        <v>11.377</v>
      </c>
      <c r="J172" s="12" t="n">
        <v>0.116</v>
      </c>
      <c r="K172" s="13" t="n">
        <f aca="false">I172-J172</f>
        <v>11.261</v>
      </c>
      <c r="L172" s="14" t="n">
        <f aca="false">IF(I172=0,"",100*J172/I172)</f>
        <v>1.01960094928364</v>
      </c>
      <c r="M172" s="12" t="n">
        <v>11.935</v>
      </c>
      <c r="N172" s="12" t="n">
        <v>0.124</v>
      </c>
      <c r="O172" s="15" t="n">
        <v>0.9532</v>
      </c>
      <c r="P172" s="15" t="n">
        <v>0.9327</v>
      </c>
      <c r="Q172" s="11"/>
    </row>
    <row r="173" customFormat="false" ht="15" hidden="false" customHeight="false" outlineLevel="0" collapsed="false">
      <c r="A173" s="7" t="str">
        <f aca="false">D173&amp;"-"&amp;TEXT(E173,"00")&amp;"-"&amp;H173&amp;"-"&amp;B173</f>
        <v>MP-17-0–100-dry</v>
      </c>
      <c r="B173" s="8" t="s">
        <v>67</v>
      </c>
      <c r="C173" s="8" t="s">
        <v>68</v>
      </c>
      <c r="D173" s="8" t="s">
        <v>48</v>
      </c>
      <c r="E173" s="8" t="n">
        <v>17</v>
      </c>
      <c r="F173" s="8" t="n">
        <v>0</v>
      </c>
      <c r="G173" s="8" t="n">
        <v>100</v>
      </c>
      <c r="H173" s="7" t="str">
        <f aca="false">F173&amp;"–"&amp;G173</f>
        <v>0–100</v>
      </c>
      <c r="I173" s="12" t="n">
        <v>21.49</v>
      </c>
      <c r="J173" s="12" t="n">
        <v>0.382</v>
      </c>
      <c r="K173" s="13" t="n">
        <f aca="false">I173-J173</f>
        <v>21.108</v>
      </c>
      <c r="L173" s="14" t="n">
        <f aca="false">IF(I173=0,"",100*J173/I173)</f>
        <v>1.77757096323872</v>
      </c>
      <c r="M173" s="12" t="n">
        <v>22.635</v>
      </c>
      <c r="N173" s="12" t="n">
        <v>0.409</v>
      </c>
      <c r="O173" s="15" t="n">
        <v>0.9494</v>
      </c>
      <c r="P173" s="15" t="n">
        <v>0.9346</v>
      </c>
      <c r="Q173" s="11"/>
    </row>
    <row r="174" customFormat="false" ht="15" hidden="false" customHeight="false" outlineLevel="0" collapsed="false">
      <c r="A174" s="7" t="str">
        <f aca="false">D174&amp;"-"&amp;TEXT(E174,"00")&amp;"-"&amp;H174&amp;"-"&amp;B174</f>
        <v>MP-17-100–200-dry</v>
      </c>
      <c r="B174" s="8" t="s">
        <v>67</v>
      </c>
      <c r="C174" s="8" t="s">
        <v>68</v>
      </c>
      <c r="D174" s="8" t="s">
        <v>48</v>
      </c>
      <c r="E174" s="8" t="n">
        <v>17</v>
      </c>
      <c r="F174" s="8" t="n">
        <v>100</v>
      </c>
      <c r="G174" s="8" t="n">
        <v>200</v>
      </c>
      <c r="H174" s="7" t="str">
        <f aca="false">F174&amp;"–"&amp;G174</f>
        <v>100–200</v>
      </c>
      <c r="I174" s="12" t="n">
        <v>9.742</v>
      </c>
      <c r="J174" s="12" t="n">
        <v>0.124</v>
      </c>
      <c r="K174" s="13" t="n">
        <f aca="false">I174-J174</f>
        <v>9.618</v>
      </c>
      <c r="L174" s="14" t="n">
        <f aca="false">IF(I174=0,"",100*J174/I174)</f>
        <v>1.27283925272018</v>
      </c>
      <c r="M174" s="12" t="n">
        <v>10.261</v>
      </c>
      <c r="N174" s="12" t="n">
        <v>0.126</v>
      </c>
      <c r="O174" s="15" t="n">
        <v>0.9494</v>
      </c>
      <c r="P174" s="15" t="n">
        <v>0.9825</v>
      </c>
      <c r="Q174" s="11"/>
    </row>
    <row r="175" customFormat="false" ht="15" hidden="false" customHeight="false" outlineLevel="0" collapsed="false">
      <c r="A175" s="7" t="str">
        <f aca="false">D175&amp;"-"&amp;TEXT(E175,"00")&amp;"-"&amp;H175&amp;"-"&amp;B175</f>
        <v>MP-17-200–300-dry</v>
      </c>
      <c r="B175" s="8" t="s">
        <v>67</v>
      </c>
      <c r="C175" s="8" t="s">
        <v>68</v>
      </c>
      <c r="D175" s="8" t="s">
        <v>48</v>
      </c>
      <c r="E175" s="8" t="n">
        <v>17</v>
      </c>
      <c r="F175" s="8" t="n">
        <v>200</v>
      </c>
      <c r="G175" s="8" t="n">
        <v>300</v>
      </c>
      <c r="H175" s="7" t="str">
        <f aca="false">F175&amp;"–"&amp;G175</f>
        <v>200–300</v>
      </c>
      <c r="I175" s="12" t="n">
        <v>8.281</v>
      </c>
      <c r="J175" s="12" t="n">
        <v>0.204</v>
      </c>
      <c r="K175" s="13" t="n">
        <f aca="false">I175-J175</f>
        <v>8.077</v>
      </c>
      <c r="L175" s="14" t="n">
        <f aca="false">IF(I175=0,"",100*J175/I175)</f>
        <v>2.46347059533873</v>
      </c>
      <c r="M175" s="12" t="n">
        <v>8.688</v>
      </c>
      <c r="N175" s="12" t="n">
        <v>0.219</v>
      </c>
      <c r="O175" s="15" t="n">
        <v>0.9532</v>
      </c>
      <c r="P175" s="15" t="n">
        <v>0.9327</v>
      </c>
      <c r="Q175" s="11"/>
    </row>
    <row r="176" customFormat="false" ht="15" hidden="false" customHeight="false" outlineLevel="0" collapsed="false">
      <c r="A176" s="7" t="str">
        <f aca="false">D176&amp;"-"&amp;TEXT(E176,"00")&amp;"-"&amp;H176&amp;"-"&amp;B176</f>
        <v>MP-18-0–100-dry</v>
      </c>
      <c r="B176" s="8" t="s">
        <v>67</v>
      </c>
      <c r="C176" s="8" t="s">
        <v>68</v>
      </c>
      <c r="D176" s="8" t="s">
        <v>48</v>
      </c>
      <c r="E176" s="8" t="n">
        <v>18</v>
      </c>
      <c r="F176" s="8" t="n">
        <v>0</v>
      </c>
      <c r="G176" s="8" t="n">
        <v>100</v>
      </c>
      <c r="H176" s="7" t="str">
        <f aca="false">F176&amp;"–"&amp;G176</f>
        <v>0–100</v>
      </c>
      <c r="I176" s="12" t="n">
        <v>11.037</v>
      </c>
      <c r="J176" s="12" t="n">
        <v>0.238</v>
      </c>
      <c r="K176" s="13" t="n">
        <f aca="false">I176-J176</f>
        <v>10.799</v>
      </c>
      <c r="L176" s="14" t="n">
        <f aca="false">IF(I176=0,"",100*J176/I176)</f>
        <v>2.15638307511099</v>
      </c>
      <c r="M176" s="12" t="n">
        <v>11.625</v>
      </c>
      <c r="N176" s="12" t="n">
        <v>0.255</v>
      </c>
      <c r="O176" s="15" t="n">
        <v>0.9494</v>
      </c>
      <c r="P176" s="15" t="n">
        <v>0.9346</v>
      </c>
      <c r="Q176" s="11"/>
    </row>
    <row r="177" customFormat="false" ht="15" hidden="false" customHeight="false" outlineLevel="0" collapsed="false">
      <c r="A177" s="7" t="str">
        <f aca="false">D177&amp;"-"&amp;TEXT(E177,"00")&amp;"-"&amp;H177&amp;"-"&amp;B177</f>
        <v>MP-18-100–200-dry</v>
      </c>
      <c r="B177" s="8" t="s">
        <v>67</v>
      </c>
      <c r="C177" s="8" t="s">
        <v>68</v>
      </c>
      <c r="D177" s="8" t="s">
        <v>48</v>
      </c>
      <c r="E177" s="8" t="n">
        <v>18</v>
      </c>
      <c r="F177" s="8" t="n">
        <v>100</v>
      </c>
      <c r="G177" s="8" t="n">
        <v>200</v>
      </c>
      <c r="H177" s="7" t="str">
        <f aca="false">F177&amp;"–"&amp;G177</f>
        <v>100–200</v>
      </c>
      <c r="I177" s="12" t="n">
        <v>9.952</v>
      </c>
      <c r="J177" s="12" t="n">
        <v>0.248</v>
      </c>
      <c r="K177" s="13" t="n">
        <f aca="false">I177-J177</f>
        <v>9.704</v>
      </c>
      <c r="L177" s="14" t="n">
        <f aca="false">IF(I177=0,"",100*J177/I177)</f>
        <v>2.491961414791</v>
      </c>
      <c r="M177" s="12" t="n">
        <v>10.482</v>
      </c>
      <c r="N177" s="12" t="n">
        <v>0.252</v>
      </c>
      <c r="O177" s="15" t="n">
        <v>0.9494</v>
      </c>
      <c r="P177" s="15" t="n">
        <v>0.9825</v>
      </c>
      <c r="Q177" s="11"/>
    </row>
    <row r="178" customFormat="false" ht="15" hidden="false" customHeight="false" outlineLevel="0" collapsed="false">
      <c r="A178" s="7" t="str">
        <f aca="false">D178&amp;"-"&amp;TEXT(E178,"00")&amp;"-"&amp;H178&amp;"-"&amp;B178</f>
        <v>MP-18-200–300-dry</v>
      </c>
      <c r="B178" s="8" t="s">
        <v>67</v>
      </c>
      <c r="C178" s="8" t="s">
        <v>68</v>
      </c>
      <c r="D178" s="8" t="s">
        <v>48</v>
      </c>
      <c r="E178" s="8" t="n">
        <v>18</v>
      </c>
      <c r="F178" s="8" t="n">
        <v>200</v>
      </c>
      <c r="G178" s="8" t="n">
        <v>300</v>
      </c>
      <c r="H178" s="7" t="str">
        <f aca="false">F178&amp;"–"&amp;G178</f>
        <v>200–300</v>
      </c>
      <c r="I178" s="12" t="n">
        <v>8.952</v>
      </c>
      <c r="J178" s="12" t="n">
        <v>0.204</v>
      </c>
      <c r="K178" s="13" t="n">
        <f aca="false">I178-J178</f>
        <v>8.748</v>
      </c>
      <c r="L178" s="14" t="n">
        <f aca="false">IF(I178=0,"",100*J178/I178)</f>
        <v>2.27882037533512</v>
      </c>
      <c r="M178" s="12" t="n">
        <v>9.392</v>
      </c>
      <c r="N178" s="12" t="n">
        <v>0.219</v>
      </c>
      <c r="O178" s="15" t="n">
        <v>0.9532</v>
      </c>
      <c r="P178" s="15" t="n">
        <v>0.9327</v>
      </c>
      <c r="Q178" s="11"/>
    </row>
    <row r="179" customFormat="false" ht="15" hidden="false" customHeight="false" outlineLevel="0" collapsed="false">
      <c r="A179" s="7" t="str">
        <f aca="false">D179&amp;"-"&amp;TEXT(E179,"00")&amp;"-"&amp;H179&amp;"-"&amp;B179</f>
        <v>MP-19-0–100-dry</v>
      </c>
      <c r="B179" s="8" t="s">
        <v>67</v>
      </c>
      <c r="C179" s="8" t="s">
        <v>68</v>
      </c>
      <c r="D179" s="8" t="s">
        <v>48</v>
      </c>
      <c r="E179" s="8" t="n">
        <v>19</v>
      </c>
      <c r="F179" s="8" t="n">
        <v>0</v>
      </c>
      <c r="G179" s="8" t="n">
        <v>100</v>
      </c>
      <c r="H179" s="7" t="str">
        <f aca="false">F179&amp;"–"&amp;G179</f>
        <v>0–100</v>
      </c>
      <c r="I179" s="12" t="n">
        <v>8.768</v>
      </c>
      <c r="J179" s="12" t="n">
        <v>0.118</v>
      </c>
      <c r="K179" s="13" t="n">
        <f aca="false">I179-J179</f>
        <v>8.65</v>
      </c>
      <c r="L179" s="14" t="n">
        <f aca="false">IF(I179=0,"",100*J179/I179)</f>
        <v>1.34580291970803</v>
      </c>
      <c r="M179" s="12" t="n">
        <v>9.236</v>
      </c>
      <c r="N179" s="12" t="n">
        <v>0.126</v>
      </c>
      <c r="O179" s="15" t="n">
        <v>0.9494</v>
      </c>
      <c r="P179" s="15" t="n">
        <v>0.9346</v>
      </c>
      <c r="Q179" s="11"/>
    </row>
    <row r="180" customFormat="false" ht="15" hidden="false" customHeight="false" outlineLevel="0" collapsed="false">
      <c r="A180" s="7" t="str">
        <f aca="false">D180&amp;"-"&amp;TEXT(E180,"00")&amp;"-"&amp;H180&amp;"-"&amp;B180</f>
        <v>MP-19-100–200-dry</v>
      </c>
      <c r="B180" s="8" t="s">
        <v>67</v>
      </c>
      <c r="C180" s="8" t="s">
        <v>68</v>
      </c>
      <c r="D180" s="8" t="s">
        <v>48</v>
      </c>
      <c r="E180" s="8" t="n">
        <v>19</v>
      </c>
      <c r="F180" s="8" t="n">
        <v>100</v>
      </c>
      <c r="G180" s="8" t="n">
        <v>200</v>
      </c>
      <c r="H180" s="7" t="str">
        <f aca="false">F180&amp;"–"&amp;G180</f>
        <v>100–200</v>
      </c>
      <c r="I180" s="12" t="n">
        <v>9.394</v>
      </c>
      <c r="J180" s="12" t="n">
        <v>0.155</v>
      </c>
      <c r="K180" s="13" t="n">
        <f aca="false">I180-J180</f>
        <v>9.239</v>
      </c>
      <c r="L180" s="14" t="n">
        <f aca="false">IF(I180=0,"",100*J180/I180)</f>
        <v>1.64998935490739</v>
      </c>
      <c r="M180" s="12" t="n">
        <v>9.895</v>
      </c>
      <c r="N180" s="12" t="n">
        <v>0.158</v>
      </c>
      <c r="O180" s="15" t="n">
        <v>0.9494</v>
      </c>
      <c r="P180" s="15" t="n">
        <v>0.9825</v>
      </c>
      <c r="Q180" s="11"/>
    </row>
    <row r="181" customFormat="false" ht="15" hidden="false" customHeight="false" outlineLevel="0" collapsed="false">
      <c r="A181" s="7" t="str">
        <f aca="false">D181&amp;"-"&amp;TEXT(E181,"00")&amp;"-"&amp;H181&amp;"-"&amp;B181</f>
        <v>MP-19-200–300-dry</v>
      </c>
      <c r="B181" s="8" t="s">
        <v>67</v>
      </c>
      <c r="C181" s="8" t="s">
        <v>68</v>
      </c>
      <c r="D181" s="8" t="s">
        <v>48</v>
      </c>
      <c r="E181" s="8" t="n">
        <v>19</v>
      </c>
      <c r="F181" s="8" t="n">
        <v>200</v>
      </c>
      <c r="G181" s="8" t="n">
        <v>300</v>
      </c>
      <c r="H181" s="7" t="str">
        <f aca="false">F181&amp;"–"&amp;G181</f>
        <v>200–300</v>
      </c>
      <c r="I181" s="12" t="n">
        <v>7.177</v>
      </c>
      <c r="J181" s="12" t="n">
        <v>0.117</v>
      </c>
      <c r="K181" s="13" t="n">
        <f aca="false">I181-J181</f>
        <v>7.06</v>
      </c>
      <c r="L181" s="14" t="n">
        <f aca="false">IF(I181=0,"",100*J181/I181)</f>
        <v>1.6302076076355</v>
      </c>
      <c r="M181" s="12" t="n">
        <v>7.53</v>
      </c>
      <c r="N181" s="12" t="n">
        <v>0.125</v>
      </c>
      <c r="O181" s="15" t="n">
        <v>0.9532</v>
      </c>
      <c r="P181" s="15" t="n">
        <v>0.9327</v>
      </c>
      <c r="Q181" s="11"/>
    </row>
    <row r="182" customFormat="false" ht="15" hidden="false" customHeight="false" outlineLevel="0" collapsed="false">
      <c r="A182" s="7" t="str">
        <f aca="false">D182&amp;"-"&amp;TEXT(E182,"00")&amp;"-"&amp;H182&amp;"-"&amp;B182</f>
        <v>MP-20-0–100-dry</v>
      </c>
      <c r="B182" s="8" t="s">
        <v>67</v>
      </c>
      <c r="C182" s="8" t="s">
        <v>68</v>
      </c>
      <c r="D182" s="8" t="s">
        <v>48</v>
      </c>
      <c r="E182" s="8" t="n">
        <v>20</v>
      </c>
      <c r="F182" s="8" t="n">
        <v>0</v>
      </c>
      <c r="G182" s="8" t="n">
        <v>100</v>
      </c>
      <c r="H182" s="7" t="str">
        <f aca="false">F182&amp;"–"&amp;G182</f>
        <v>0–100</v>
      </c>
      <c r="I182" s="12" t="n">
        <v>13.87</v>
      </c>
      <c r="J182" s="12" t="n">
        <v>0.439</v>
      </c>
      <c r="K182" s="13" t="n">
        <f aca="false">I182-J182</f>
        <v>13.431</v>
      </c>
      <c r="L182" s="14" t="n">
        <f aca="false">IF(I182=0,"",100*J182/I182)</f>
        <v>3.16510454217736</v>
      </c>
      <c r="M182" s="12" t="n">
        <v>14.609</v>
      </c>
      <c r="N182" s="12" t="n">
        <v>0.47</v>
      </c>
      <c r="O182" s="15" t="n">
        <v>0.9494</v>
      </c>
      <c r="P182" s="15" t="n">
        <v>0.9346</v>
      </c>
      <c r="Q182" s="11"/>
    </row>
    <row r="183" customFormat="false" ht="15" hidden="false" customHeight="false" outlineLevel="0" collapsed="false">
      <c r="A183" s="7" t="str">
        <f aca="false">D183&amp;"-"&amp;TEXT(E183,"00")&amp;"-"&amp;H183&amp;"-"&amp;B183</f>
        <v>MP-20-100–200-dry</v>
      </c>
      <c r="B183" s="8" t="s">
        <v>67</v>
      </c>
      <c r="C183" s="8" t="s">
        <v>68</v>
      </c>
      <c r="D183" s="8" t="s">
        <v>48</v>
      </c>
      <c r="E183" s="8" t="n">
        <v>20</v>
      </c>
      <c r="F183" s="8" t="n">
        <v>100</v>
      </c>
      <c r="G183" s="8" t="n">
        <v>200</v>
      </c>
      <c r="H183" s="7" t="str">
        <f aca="false">F183&amp;"–"&amp;G183</f>
        <v>100–200</v>
      </c>
      <c r="I183" s="12" t="n">
        <v>10.592</v>
      </c>
      <c r="J183" s="12" t="n">
        <v>0.28</v>
      </c>
      <c r="K183" s="13" t="n">
        <f aca="false">I183-J183</f>
        <v>10.312</v>
      </c>
      <c r="L183" s="14" t="n">
        <f aca="false">IF(I183=0,"",100*J183/I183)</f>
        <v>2.64350453172205</v>
      </c>
      <c r="M183" s="12" t="n">
        <v>11.157</v>
      </c>
      <c r="N183" s="12" t="n">
        <v>0.285</v>
      </c>
      <c r="O183" s="15" t="n">
        <v>0.9494</v>
      </c>
      <c r="P183" s="15" t="n">
        <v>0.9825</v>
      </c>
      <c r="Q183" s="11"/>
    </row>
    <row r="184" customFormat="false" ht="15" hidden="false" customHeight="false" outlineLevel="0" collapsed="false">
      <c r="A184" s="7" t="str">
        <f aca="false">D184&amp;"-"&amp;TEXT(E184,"00")&amp;"-"&amp;H184&amp;"-"&amp;B184</f>
        <v>MP-20-200–300-dry</v>
      </c>
      <c r="B184" s="8" t="s">
        <v>67</v>
      </c>
      <c r="C184" s="8" t="s">
        <v>68</v>
      </c>
      <c r="D184" s="8" t="s">
        <v>48</v>
      </c>
      <c r="E184" s="8" t="n">
        <v>20</v>
      </c>
      <c r="F184" s="8" t="n">
        <v>200</v>
      </c>
      <c r="G184" s="8" t="n">
        <v>300</v>
      </c>
      <c r="H184" s="7" t="str">
        <f aca="false">F184&amp;"–"&amp;G184</f>
        <v>200–300</v>
      </c>
      <c r="I184" s="12" t="n">
        <v>10.133</v>
      </c>
      <c r="J184" s="12" t="n">
        <v>0.262</v>
      </c>
      <c r="K184" s="13" t="n">
        <f aca="false">I184-J184</f>
        <v>9.871</v>
      </c>
      <c r="L184" s="14" t="n">
        <f aca="false">IF(I184=0,"",100*J184/I184)</f>
        <v>2.58561136879503</v>
      </c>
      <c r="M184" s="12" t="n">
        <v>10.63</v>
      </c>
      <c r="N184" s="12" t="n">
        <v>0.281</v>
      </c>
      <c r="O184" s="15" t="n">
        <v>0.9532</v>
      </c>
      <c r="P184" s="15" t="n">
        <v>0.9327</v>
      </c>
      <c r="Q184" s="11"/>
    </row>
    <row r="185" customFormat="false" ht="15" hidden="false" customHeight="false" outlineLevel="0" collapsed="false">
      <c r="A185" s="7" t="str">
        <f aca="false">D185&amp;"-"&amp;TEXT(E185,"00")&amp;"-"&amp;H185&amp;"-"&amp;B185</f>
        <v>NF-01-0–100-wet</v>
      </c>
      <c r="B185" s="8" t="s">
        <v>71</v>
      </c>
      <c r="C185" s="8" t="s">
        <v>72</v>
      </c>
      <c r="D185" s="8" t="s">
        <v>41</v>
      </c>
      <c r="E185" s="8" t="n">
        <v>1</v>
      </c>
      <c r="F185" s="8" t="n">
        <v>0</v>
      </c>
      <c r="G185" s="8" t="n">
        <v>100</v>
      </c>
      <c r="H185" s="7" t="str">
        <f aca="false">F185&amp;"–"&amp;G185</f>
        <v>0–100</v>
      </c>
      <c r="I185" s="12" t="n">
        <v>14.793</v>
      </c>
      <c r="J185" s="12" t="n">
        <v>0.389</v>
      </c>
      <c r="K185" s="13" t="n">
        <f aca="false">I185-J185</f>
        <v>14.404</v>
      </c>
      <c r="L185" s="14" t="n">
        <f aca="false">IF(I185=0,"",100*J185/I185)</f>
        <v>2.62962211856959</v>
      </c>
      <c r="M185" s="12" t="n">
        <v>15.952</v>
      </c>
      <c r="N185" s="12" t="n">
        <v>0.379</v>
      </c>
      <c r="O185" s="15" t="n">
        <v>0.9273</v>
      </c>
      <c r="P185" s="15" t="n">
        <v>1.0268</v>
      </c>
      <c r="Q185" s="11"/>
    </row>
    <row r="186" customFormat="false" ht="15" hidden="false" customHeight="false" outlineLevel="0" collapsed="false">
      <c r="A186" s="7" t="str">
        <f aca="false">D186&amp;"-"&amp;TEXT(E186,"00")&amp;"-"&amp;H186&amp;"-"&amp;B186</f>
        <v>NF-01-100–200-wet</v>
      </c>
      <c r="B186" s="8" t="s">
        <v>71</v>
      </c>
      <c r="C186" s="8" t="s">
        <v>72</v>
      </c>
      <c r="D186" s="8" t="s">
        <v>41</v>
      </c>
      <c r="E186" s="8" t="n">
        <v>1</v>
      </c>
      <c r="F186" s="8" t="n">
        <v>100</v>
      </c>
      <c r="G186" s="8" t="n">
        <v>200</v>
      </c>
      <c r="H186" s="7" t="str">
        <f aca="false">F186&amp;"–"&amp;G186</f>
        <v>100–200</v>
      </c>
      <c r="I186" s="12" t="n">
        <v>10.66</v>
      </c>
      <c r="J186" s="12" t="n">
        <v>0.285</v>
      </c>
      <c r="K186" s="13" t="n">
        <f aca="false">I186-J186</f>
        <v>10.375</v>
      </c>
      <c r="L186" s="14" t="n">
        <f aca="false">IF(I186=0,"",100*J186/I186)</f>
        <v>2.67354596622889</v>
      </c>
      <c r="M186" s="12" t="n">
        <v>11.495</v>
      </c>
      <c r="N186" s="12" t="n">
        <v>0.28</v>
      </c>
      <c r="O186" s="15" t="n">
        <v>0.9273</v>
      </c>
      <c r="P186" s="15" t="n">
        <v>1.0181</v>
      </c>
      <c r="Q186" s="11"/>
    </row>
    <row r="187" customFormat="false" ht="15" hidden="false" customHeight="false" outlineLevel="0" collapsed="false">
      <c r="A187" s="7" t="str">
        <f aca="false">D187&amp;"-"&amp;TEXT(E187,"00")&amp;"-"&amp;H187&amp;"-"&amp;B187</f>
        <v>NF-01-200–300-wet</v>
      </c>
      <c r="B187" s="8" t="s">
        <v>71</v>
      </c>
      <c r="C187" s="8" t="s">
        <v>72</v>
      </c>
      <c r="D187" s="8" t="s">
        <v>41</v>
      </c>
      <c r="E187" s="8" t="n">
        <v>1</v>
      </c>
      <c r="F187" s="8" t="n">
        <v>200</v>
      </c>
      <c r="G187" s="8" t="n">
        <v>300</v>
      </c>
      <c r="H187" s="7" t="str">
        <f aca="false">F187&amp;"–"&amp;G187</f>
        <v>200–300</v>
      </c>
      <c r="I187" s="12" t="n">
        <v>9.462</v>
      </c>
      <c r="J187" s="12" t="n">
        <v>0.517</v>
      </c>
      <c r="K187" s="13" t="n">
        <f aca="false">I187-J187</f>
        <v>8.945</v>
      </c>
      <c r="L187" s="14" t="n">
        <f aca="false">IF(I187=0,"",100*J187/I187)</f>
        <v>5.46396110758825</v>
      </c>
      <c r="M187" s="12" t="n">
        <v>9.294</v>
      </c>
      <c r="N187" s="12" t="n">
        <v>0.508</v>
      </c>
      <c r="O187" s="15" t="n">
        <v>1.0181</v>
      </c>
      <c r="P187" s="15" t="n">
        <v>1.0181</v>
      </c>
      <c r="Q187" s="11"/>
    </row>
    <row r="188" customFormat="false" ht="15" hidden="false" customHeight="false" outlineLevel="0" collapsed="false">
      <c r="A188" s="7" t="str">
        <f aca="false">D188&amp;"-"&amp;TEXT(E188,"00")&amp;"-"&amp;H188&amp;"-"&amp;B188</f>
        <v>NF-02-0–100-wet</v>
      </c>
      <c r="B188" s="8" t="s">
        <v>71</v>
      </c>
      <c r="C188" s="8" t="s">
        <v>72</v>
      </c>
      <c r="D188" s="8" t="s">
        <v>41</v>
      </c>
      <c r="E188" s="8" t="n">
        <v>2</v>
      </c>
      <c r="F188" s="8" t="n">
        <v>0</v>
      </c>
      <c r="G188" s="8" t="n">
        <v>100</v>
      </c>
      <c r="H188" s="7" t="str">
        <f aca="false">F188&amp;"–"&amp;G188</f>
        <v>0–100</v>
      </c>
      <c r="I188" s="12" t="n">
        <v>9.548</v>
      </c>
      <c r="J188" s="12" t="n">
        <v>0.39</v>
      </c>
      <c r="K188" s="13" t="n">
        <f aca="false">I188-J188</f>
        <v>9.158</v>
      </c>
      <c r="L188" s="14" t="n">
        <f aca="false">IF(I188=0,"",100*J188/I188)</f>
        <v>4.08462505236699</v>
      </c>
      <c r="M188" s="12" t="n">
        <v>10.296</v>
      </c>
      <c r="N188" s="12" t="n">
        <v>0.38</v>
      </c>
      <c r="O188" s="15" t="n">
        <v>0.9273</v>
      </c>
      <c r="P188" s="15" t="n">
        <v>1.0268</v>
      </c>
      <c r="Q188" s="11"/>
    </row>
    <row r="189" customFormat="false" ht="15" hidden="false" customHeight="false" outlineLevel="0" collapsed="false">
      <c r="A189" s="7" t="str">
        <f aca="false">D189&amp;"-"&amp;TEXT(E189,"00")&amp;"-"&amp;H189&amp;"-"&amp;B189</f>
        <v>NF-02-100–200-wet</v>
      </c>
      <c r="B189" s="8" t="s">
        <v>71</v>
      </c>
      <c r="C189" s="8" t="s">
        <v>72</v>
      </c>
      <c r="D189" s="8" t="s">
        <v>41</v>
      </c>
      <c r="E189" s="8" t="n">
        <v>2</v>
      </c>
      <c r="F189" s="8" t="n">
        <v>100</v>
      </c>
      <c r="G189" s="8" t="n">
        <v>200</v>
      </c>
      <c r="H189" s="7" t="str">
        <f aca="false">F189&amp;"–"&amp;G189</f>
        <v>100–200</v>
      </c>
      <c r="I189" s="12" t="n">
        <v>8.69</v>
      </c>
      <c r="J189" s="12" t="n">
        <v>0.317</v>
      </c>
      <c r="K189" s="13" t="n">
        <f aca="false">I189-J189</f>
        <v>8.373</v>
      </c>
      <c r="L189" s="14" t="n">
        <f aca="false">IF(I189=0,"",100*J189/I189)</f>
        <v>3.64787111622555</v>
      </c>
      <c r="M189" s="12" t="n">
        <v>9.372</v>
      </c>
      <c r="N189" s="12" t="n">
        <v>0.311</v>
      </c>
      <c r="O189" s="15" t="n">
        <v>0.9273</v>
      </c>
      <c r="P189" s="15" t="n">
        <v>1.0181</v>
      </c>
      <c r="Q189" s="11"/>
    </row>
    <row r="190" customFormat="false" ht="15" hidden="false" customHeight="false" outlineLevel="0" collapsed="false">
      <c r="A190" s="7" t="str">
        <f aca="false">D190&amp;"-"&amp;TEXT(E190,"00")&amp;"-"&amp;H190&amp;"-"&amp;B190</f>
        <v>NF-02-200–300-wet</v>
      </c>
      <c r="B190" s="8" t="s">
        <v>71</v>
      </c>
      <c r="C190" s="8" t="s">
        <v>72</v>
      </c>
      <c r="D190" s="8" t="s">
        <v>41</v>
      </c>
      <c r="E190" s="8" t="n">
        <v>2</v>
      </c>
      <c r="F190" s="8" t="n">
        <v>200</v>
      </c>
      <c r="G190" s="8" t="n">
        <v>300</v>
      </c>
      <c r="H190" s="7" t="str">
        <f aca="false">F190&amp;"–"&amp;G190</f>
        <v>200–300</v>
      </c>
      <c r="I190" s="12" t="n">
        <v>4.485</v>
      </c>
      <c r="J190" s="12" t="n">
        <v>0.422</v>
      </c>
      <c r="K190" s="13" t="n">
        <f aca="false">I190-J190</f>
        <v>4.063</v>
      </c>
      <c r="L190" s="14" t="n">
        <f aca="false">IF(I190=0,"",100*J190/I190)</f>
        <v>9.40914158305463</v>
      </c>
      <c r="M190" s="12" t="n">
        <v>4.405</v>
      </c>
      <c r="N190" s="12" t="n">
        <v>0.415</v>
      </c>
      <c r="O190" s="15" t="n">
        <v>1.0181</v>
      </c>
      <c r="P190" s="15" t="n">
        <v>1.0181</v>
      </c>
      <c r="Q190" s="11"/>
    </row>
    <row r="191" customFormat="false" ht="15" hidden="false" customHeight="false" outlineLevel="0" collapsed="false">
      <c r="A191" s="7" t="str">
        <f aca="false">D191&amp;"-"&amp;TEXT(E191,"00")&amp;"-"&amp;H191&amp;"-"&amp;B191</f>
        <v>NF-03-0–100-wet</v>
      </c>
      <c r="B191" s="8" t="s">
        <v>71</v>
      </c>
      <c r="C191" s="8" t="s">
        <v>72</v>
      </c>
      <c r="D191" s="8" t="s">
        <v>41</v>
      </c>
      <c r="E191" s="8" t="n">
        <v>3</v>
      </c>
      <c r="F191" s="8" t="n">
        <v>0</v>
      </c>
      <c r="G191" s="8" t="n">
        <v>100</v>
      </c>
      <c r="H191" s="7" t="str">
        <f aca="false">F191&amp;"–"&amp;G191</f>
        <v>0–100</v>
      </c>
      <c r="I191" s="12" t="n">
        <v>9.989</v>
      </c>
      <c r="J191" s="12" t="n">
        <v>0.352</v>
      </c>
      <c r="K191" s="13" t="n">
        <f aca="false">I191-J191</f>
        <v>9.637</v>
      </c>
      <c r="L191" s="14" t="n">
        <f aca="false">IF(I191=0,"",100*J191/I191)</f>
        <v>3.52387626389028</v>
      </c>
      <c r="M191" s="12" t="n">
        <v>10.772</v>
      </c>
      <c r="N191" s="12" t="n">
        <v>0.343</v>
      </c>
      <c r="O191" s="15" t="n">
        <v>0.9273</v>
      </c>
      <c r="P191" s="15" t="n">
        <v>1.0268</v>
      </c>
      <c r="Q191" s="11"/>
    </row>
    <row r="192" customFormat="false" ht="15" hidden="false" customHeight="false" outlineLevel="0" collapsed="false">
      <c r="A192" s="7" t="str">
        <f aca="false">D192&amp;"-"&amp;TEXT(E192,"00")&amp;"-"&amp;H192&amp;"-"&amp;B192</f>
        <v>NF-03-100–200-wet</v>
      </c>
      <c r="B192" s="8" t="s">
        <v>71</v>
      </c>
      <c r="C192" s="8" t="s">
        <v>72</v>
      </c>
      <c r="D192" s="8" t="s">
        <v>41</v>
      </c>
      <c r="E192" s="8" t="n">
        <v>3</v>
      </c>
      <c r="F192" s="8" t="n">
        <v>100</v>
      </c>
      <c r="G192" s="8" t="n">
        <v>200</v>
      </c>
      <c r="H192" s="7" t="str">
        <f aca="false">F192&amp;"–"&amp;G192</f>
        <v>100–200</v>
      </c>
      <c r="I192" s="12" t="n">
        <v>6.876</v>
      </c>
      <c r="J192" s="12" t="n">
        <v>0.317</v>
      </c>
      <c r="K192" s="13" t="n">
        <f aca="false">I192-J192</f>
        <v>6.559</v>
      </c>
      <c r="L192" s="14" t="n">
        <f aca="false">IF(I192=0,"",100*J192/I192)</f>
        <v>4.61023851076207</v>
      </c>
      <c r="M192" s="12" t="n">
        <v>7.415</v>
      </c>
      <c r="N192" s="12" t="n">
        <v>0.311</v>
      </c>
      <c r="O192" s="15" t="n">
        <v>0.9273</v>
      </c>
      <c r="P192" s="15" t="n">
        <v>1.0181</v>
      </c>
      <c r="Q192" s="11"/>
    </row>
    <row r="193" customFormat="false" ht="15" hidden="false" customHeight="false" outlineLevel="0" collapsed="false">
      <c r="A193" s="7" t="str">
        <f aca="false">D193&amp;"-"&amp;TEXT(E193,"00")&amp;"-"&amp;H193&amp;"-"&amp;B193</f>
        <v>NF-03-200–300-wet</v>
      </c>
      <c r="B193" s="8" t="s">
        <v>71</v>
      </c>
      <c r="C193" s="8" t="s">
        <v>72</v>
      </c>
      <c r="D193" s="8" t="s">
        <v>41</v>
      </c>
      <c r="E193" s="8" t="n">
        <v>3</v>
      </c>
      <c r="F193" s="8" t="n">
        <v>200</v>
      </c>
      <c r="G193" s="8" t="n">
        <v>300</v>
      </c>
      <c r="H193" s="7" t="str">
        <f aca="false">F193&amp;"–"&amp;G193</f>
        <v>200–300</v>
      </c>
      <c r="I193" s="12" t="n">
        <v>5.867</v>
      </c>
      <c r="J193" s="12" t="n">
        <v>0.334</v>
      </c>
      <c r="K193" s="13" t="n">
        <f aca="false">I193-J193</f>
        <v>5.533</v>
      </c>
      <c r="L193" s="14" t="n">
        <f aca="false">IF(I193=0,"",100*J193/I193)</f>
        <v>5.69285836032044</v>
      </c>
      <c r="M193" s="12" t="n">
        <v>5.763</v>
      </c>
      <c r="N193" s="12" t="n">
        <v>0.328</v>
      </c>
      <c r="O193" s="15" t="n">
        <v>1.0181</v>
      </c>
      <c r="P193" s="15" t="n">
        <v>1.0181</v>
      </c>
      <c r="Q193" s="11"/>
    </row>
    <row r="194" customFormat="false" ht="15" hidden="false" customHeight="false" outlineLevel="0" collapsed="false">
      <c r="A194" s="7" t="str">
        <f aca="false">D194&amp;"-"&amp;TEXT(E194,"00")&amp;"-"&amp;H194&amp;"-"&amp;B194</f>
        <v>NF-04-0–100-wet</v>
      </c>
      <c r="B194" s="8" t="s">
        <v>71</v>
      </c>
      <c r="C194" s="8" t="s">
        <v>72</v>
      </c>
      <c r="D194" s="8" t="s">
        <v>41</v>
      </c>
      <c r="E194" s="8" t="n">
        <v>4</v>
      </c>
      <c r="F194" s="8" t="n">
        <v>0</v>
      </c>
      <c r="G194" s="8" t="n">
        <v>100</v>
      </c>
      <c r="H194" s="7" t="str">
        <f aca="false">F194&amp;"–"&amp;G194</f>
        <v>0–100</v>
      </c>
      <c r="I194" s="12" t="n">
        <v>10.397</v>
      </c>
      <c r="J194" s="12" t="n">
        <v>0.354</v>
      </c>
      <c r="K194" s="13" t="n">
        <f aca="false">I194-J194</f>
        <v>10.043</v>
      </c>
      <c r="L194" s="14" t="n">
        <f aca="false">IF(I194=0,"",100*J194/I194)</f>
        <v>3.40482831586034</v>
      </c>
      <c r="M194" s="12" t="n">
        <v>11.212</v>
      </c>
      <c r="N194" s="12" t="n">
        <v>0.345</v>
      </c>
      <c r="O194" s="15" t="n">
        <v>0.9273</v>
      </c>
      <c r="P194" s="15" t="n">
        <v>1.0268</v>
      </c>
      <c r="Q194" s="11"/>
    </row>
    <row r="195" customFormat="false" ht="15" hidden="false" customHeight="false" outlineLevel="0" collapsed="false">
      <c r="A195" s="7" t="str">
        <f aca="false">D195&amp;"-"&amp;TEXT(E195,"00")&amp;"-"&amp;H195&amp;"-"&amp;B195</f>
        <v>NF-04-100–200-wet</v>
      </c>
      <c r="B195" s="8" t="s">
        <v>71</v>
      </c>
      <c r="C195" s="8" t="s">
        <v>72</v>
      </c>
      <c r="D195" s="8" t="s">
        <v>41</v>
      </c>
      <c r="E195" s="8" t="n">
        <v>4</v>
      </c>
      <c r="F195" s="8" t="n">
        <v>100</v>
      </c>
      <c r="G195" s="8" t="n">
        <v>200</v>
      </c>
      <c r="H195" s="7" t="str">
        <f aca="false">F195&amp;"–"&amp;G195</f>
        <v>100–200</v>
      </c>
      <c r="I195" s="12" t="n">
        <v>7.033</v>
      </c>
      <c r="J195" s="12" t="n">
        <v>0.286</v>
      </c>
      <c r="K195" s="13" t="n">
        <f aca="false">I195-J195</f>
        <v>6.747</v>
      </c>
      <c r="L195" s="14" t="n">
        <f aca="false">IF(I195=0,"",100*J195/I195)</f>
        <v>4.06654343807763</v>
      </c>
      <c r="M195" s="12" t="n">
        <v>7.584</v>
      </c>
      <c r="N195" s="12" t="n">
        <v>0.281</v>
      </c>
      <c r="O195" s="15" t="n">
        <v>0.9273</v>
      </c>
      <c r="P195" s="15" t="n">
        <v>1.0181</v>
      </c>
      <c r="Q195" s="11"/>
    </row>
    <row r="196" customFormat="false" ht="15" hidden="false" customHeight="false" outlineLevel="0" collapsed="false">
      <c r="A196" s="7" t="str">
        <f aca="false">D196&amp;"-"&amp;TEXT(E196,"00")&amp;"-"&amp;H196&amp;"-"&amp;B196</f>
        <v>NF-04-200–300-wet</v>
      </c>
      <c r="B196" s="8" t="s">
        <v>71</v>
      </c>
      <c r="C196" s="8" t="s">
        <v>72</v>
      </c>
      <c r="D196" s="8" t="s">
        <v>41</v>
      </c>
      <c r="E196" s="8" t="n">
        <v>4</v>
      </c>
      <c r="F196" s="8" t="n">
        <v>200</v>
      </c>
      <c r="G196" s="8" t="n">
        <v>300</v>
      </c>
      <c r="H196" s="7" t="str">
        <f aca="false">F196&amp;"–"&amp;G196</f>
        <v>200–300</v>
      </c>
      <c r="I196" s="12" t="n">
        <v>6.53</v>
      </c>
      <c r="J196" s="12" t="n">
        <v>0.362</v>
      </c>
      <c r="K196" s="13" t="n">
        <f aca="false">I196-J196</f>
        <v>6.168</v>
      </c>
      <c r="L196" s="14" t="n">
        <f aca="false">IF(I196=0,"",100*J196/I196)</f>
        <v>5.54364471669219</v>
      </c>
      <c r="M196" s="12" t="n">
        <v>6.414</v>
      </c>
      <c r="N196" s="12" t="n">
        <v>0.356</v>
      </c>
      <c r="O196" s="15" t="n">
        <v>1.0181</v>
      </c>
      <c r="P196" s="15" t="n">
        <v>1.0181</v>
      </c>
      <c r="Q196" s="11"/>
    </row>
    <row r="197" customFormat="false" ht="15" hidden="false" customHeight="false" outlineLevel="0" collapsed="false">
      <c r="A197" s="7" t="str">
        <f aca="false">D197&amp;"-"&amp;TEXT(E197,"00")&amp;"-"&amp;H197&amp;"-"&amp;B197</f>
        <v>NF-05-0–100-wet</v>
      </c>
      <c r="B197" s="8" t="s">
        <v>71</v>
      </c>
      <c r="C197" s="8" t="s">
        <v>72</v>
      </c>
      <c r="D197" s="8" t="s">
        <v>41</v>
      </c>
      <c r="E197" s="8" t="n">
        <v>5</v>
      </c>
      <c r="F197" s="8" t="n">
        <v>0</v>
      </c>
      <c r="G197" s="8" t="n">
        <v>100</v>
      </c>
      <c r="H197" s="7" t="str">
        <f aca="false">F197&amp;"–"&amp;G197</f>
        <v>0–100</v>
      </c>
      <c r="I197" s="12" t="n">
        <v>7.966</v>
      </c>
      <c r="J197" s="12" t="n">
        <v>0.259</v>
      </c>
      <c r="K197" s="13" t="n">
        <f aca="false">I197-J197</f>
        <v>7.707</v>
      </c>
      <c r="L197" s="14" t="n">
        <f aca="false">IF(I197=0,"",100*J197/I197)</f>
        <v>3.25131810193322</v>
      </c>
      <c r="M197" s="12" t="n">
        <v>8.591</v>
      </c>
      <c r="N197" s="12" t="n">
        <v>0.252</v>
      </c>
      <c r="O197" s="15" t="n">
        <v>0.9273</v>
      </c>
      <c r="P197" s="15" t="n">
        <v>1.0268</v>
      </c>
      <c r="Q197" s="11"/>
    </row>
    <row r="198" customFormat="false" ht="15" hidden="false" customHeight="false" outlineLevel="0" collapsed="false">
      <c r="A198" s="7" t="str">
        <f aca="false">D198&amp;"-"&amp;TEXT(E198,"00")&amp;"-"&amp;H198&amp;"-"&amp;B198</f>
        <v>NF-05-100–200-wet</v>
      </c>
      <c r="B198" s="8" t="s">
        <v>71</v>
      </c>
      <c r="C198" s="8" t="s">
        <v>72</v>
      </c>
      <c r="D198" s="8" t="s">
        <v>41</v>
      </c>
      <c r="E198" s="8" t="n">
        <v>5</v>
      </c>
      <c r="F198" s="8" t="n">
        <v>100</v>
      </c>
      <c r="G198" s="8" t="n">
        <v>200</v>
      </c>
      <c r="H198" s="7" t="str">
        <f aca="false">F198&amp;"–"&amp;G198</f>
        <v>100–200</v>
      </c>
      <c r="I198" s="12" t="n">
        <v>6.933</v>
      </c>
      <c r="J198" s="12" t="n">
        <v>0.379</v>
      </c>
      <c r="K198" s="13" t="n">
        <f aca="false">I198-J198</f>
        <v>6.554</v>
      </c>
      <c r="L198" s="14" t="n">
        <f aca="false">IF(I198=0,"",100*J198/I198)</f>
        <v>5.46660897158517</v>
      </c>
      <c r="M198" s="12" t="n">
        <v>7.477</v>
      </c>
      <c r="N198" s="12" t="n">
        <v>0.372</v>
      </c>
      <c r="O198" s="15" t="n">
        <v>0.9273</v>
      </c>
      <c r="P198" s="15" t="n">
        <v>1.0181</v>
      </c>
      <c r="Q198" s="11"/>
    </row>
    <row r="199" customFormat="false" ht="15" hidden="false" customHeight="false" outlineLevel="0" collapsed="false">
      <c r="A199" s="7" t="str">
        <f aca="false">D199&amp;"-"&amp;TEXT(E199,"00")&amp;"-"&amp;H199&amp;"-"&amp;B199</f>
        <v>NF-05-200–300-wet</v>
      </c>
      <c r="B199" s="8" t="s">
        <v>71</v>
      </c>
      <c r="C199" s="8" t="s">
        <v>72</v>
      </c>
      <c r="D199" s="8" t="s">
        <v>41</v>
      </c>
      <c r="E199" s="8" t="n">
        <v>5</v>
      </c>
      <c r="F199" s="8" t="n">
        <v>200</v>
      </c>
      <c r="G199" s="8" t="n">
        <v>300</v>
      </c>
      <c r="H199" s="7" t="str">
        <f aca="false">F199&amp;"–"&amp;G199</f>
        <v>200–300</v>
      </c>
      <c r="I199" s="12" t="n">
        <v>3.323</v>
      </c>
      <c r="J199" s="12" t="n">
        <v>0.365</v>
      </c>
      <c r="K199" s="13" t="n">
        <f aca="false">I199-J199</f>
        <v>2.958</v>
      </c>
      <c r="L199" s="14" t="n">
        <f aca="false">IF(I199=0,"",100*J199/I199)</f>
        <v>10.9840505567259</v>
      </c>
      <c r="M199" s="12" t="n">
        <v>3.264</v>
      </c>
      <c r="N199" s="12" t="n">
        <v>0.359</v>
      </c>
      <c r="O199" s="15" t="n">
        <v>1.0181</v>
      </c>
      <c r="P199" s="15" t="n">
        <v>1.0181</v>
      </c>
      <c r="Q199" s="11"/>
    </row>
    <row r="200" customFormat="false" ht="15" hidden="false" customHeight="false" outlineLevel="0" collapsed="false">
      <c r="A200" s="7" t="str">
        <f aca="false">D200&amp;"-"&amp;TEXT(E200,"00")&amp;"-"&amp;H200&amp;"-"&amp;B200</f>
        <v>NF-06-0–100-wet</v>
      </c>
      <c r="B200" s="8" t="s">
        <v>71</v>
      </c>
      <c r="C200" s="8" t="s">
        <v>72</v>
      </c>
      <c r="D200" s="8" t="s">
        <v>41</v>
      </c>
      <c r="E200" s="8" t="n">
        <v>6</v>
      </c>
      <c r="F200" s="8" t="n">
        <v>0</v>
      </c>
      <c r="G200" s="8" t="n">
        <v>100</v>
      </c>
      <c r="H200" s="7" t="str">
        <f aca="false">F200&amp;"–"&amp;G200</f>
        <v>0–100</v>
      </c>
      <c r="I200" s="12" t="n">
        <v>11.764</v>
      </c>
      <c r="J200" s="12" t="n">
        <v>0.257</v>
      </c>
      <c r="K200" s="13" t="n">
        <f aca="false">I200-J200</f>
        <v>11.507</v>
      </c>
      <c r="L200" s="14" t="n">
        <f aca="false">IF(I200=0,"",100*J200/I200)</f>
        <v>2.18463107786467</v>
      </c>
      <c r="M200" s="12" t="n">
        <v>12.686</v>
      </c>
      <c r="N200" s="12" t="n">
        <v>0.25</v>
      </c>
      <c r="O200" s="15" t="n">
        <v>0.9273</v>
      </c>
      <c r="P200" s="15" t="n">
        <v>1.0268</v>
      </c>
      <c r="Q200" s="11"/>
    </row>
    <row r="201" customFormat="false" ht="15" hidden="false" customHeight="false" outlineLevel="0" collapsed="false">
      <c r="A201" s="7" t="str">
        <f aca="false">D201&amp;"-"&amp;TEXT(E201,"00")&amp;"-"&amp;H201&amp;"-"&amp;B201</f>
        <v>NF-06-100–200-wet</v>
      </c>
      <c r="B201" s="8" t="s">
        <v>71</v>
      </c>
      <c r="C201" s="8" t="s">
        <v>72</v>
      </c>
      <c r="D201" s="8" t="s">
        <v>41</v>
      </c>
      <c r="E201" s="8" t="n">
        <v>6</v>
      </c>
      <c r="F201" s="8" t="n">
        <v>100</v>
      </c>
      <c r="G201" s="8" t="n">
        <v>200</v>
      </c>
      <c r="H201" s="7" t="str">
        <f aca="false">F201&amp;"–"&amp;G201</f>
        <v>100–200</v>
      </c>
      <c r="I201" s="12" t="n">
        <v>9.573</v>
      </c>
      <c r="J201" s="12" t="n">
        <v>0.41</v>
      </c>
      <c r="K201" s="13" t="n">
        <f aca="false">I201-J201</f>
        <v>9.163</v>
      </c>
      <c r="L201" s="14" t="n">
        <f aca="false">IF(I201=0,"",100*J201/I201)</f>
        <v>4.28287893032487</v>
      </c>
      <c r="M201" s="12" t="n">
        <v>10.323</v>
      </c>
      <c r="N201" s="12" t="n">
        <v>0.403</v>
      </c>
      <c r="O201" s="15" t="n">
        <v>0.9273</v>
      </c>
      <c r="P201" s="15" t="n">
        <v>1.0181</v>
      </c>
      <c r="Q201" s="11"/>
    </row>
    <row r="202" customFormat="false" ht="15" hidden="false" customHeight="false" outlineLevel="0" collapsed="false">
      <c r="A202" s="7" t="str">
        <f aca="false">D202&amp;"-"&amp;TEXT(E202,"00")&amp;"-"&amp;H202&amp;"-"&amp;B202</f>
        <v>NF-06-200–300-wet</v>
      </c>
      <c r="B202" s="8" t="s">
        <v>71</v>
      </c>
      <c r="C202" s="8" t="s">
        <v>72</v>
      </c>
      <c r="D202" s="8" t="s">
        <v>41</v>
      </c>
      <c r="E202" s="8" t="n">
        <v>6</v>
      </c>
      <c r="F202" s="8" t="n">
        <v>200</v>
      </c>
      <c r="G202" s="8" t="n">
        <v>300</v>
      </c>
      <c r="H202" s="7" t="str">
        <f aca="false">F202&amp;"–"&amp;G202</f>
        <v>200–300</v>
      </c>
      <c r="I202" s="12" t="n">
        <v>5.521</v>
      </c>
      <c r="J202" s="12" t="n">
        <v>0.335</v>
      </c>
      <c r="K202" s="13" t="n">
        <f aca="false">I202-J202</f>
        <v>5.186</v>
      </c>
      <c r="L202" s="14" t="n">
        <f aca="false">IF(I202=0,"",100*J202/I202)</f>
        <v>6.06774135120449</v>
      </c>
      <c r="M202" s="12" t="n">
        <v>5.422</v>
      </c>
      <c r="N202" s="12" t="n">
        <v>0.329</v>
      </c>
      <c r="O202" s="15" t="n">
        <v>1.0181</v>
      </c>
      <c r="P202" s="15" t="n">
        <v>1.0181</v>
      </c>
      <c r="Q202" s="11"/>
    </row>
    <row r="203" customFormat="false" ht="15" hidden="false" customHeight="false" outlineLevel="0" collapsed="false">
      <c r="A203" s="7" t="str">
        <f aca="false">D203&amp;"-"&amp;TEXT(E203,"00")&amp;"-"&amp;H203&amp;"-"&amp;B203</f>
        <v>NF-07-0–100-wet</v>
      </c>
      <c r="B203" s="8" t="s">
        <v>71</v>
      </c>
      <c r="C203" s="8" t="s">
        <v>72</v>
      </c>
      <c r="D203" s="8" t="s">
        <v>41</v>
      </c>
      <c r="E203" s="8" t="n">
        <v>7</v>
      </c>
      <c r="F203" s="8" t="n">
        <v>0</v>
      </c>
      <c r="G203" s="8" t="n">
        <v>100</v>
      </c>
      <c r="H203" s="7" t="str">
        <f aca="false">F203&amp;"–"&amp;G203</f>
        <v>0–100</v>
      </c>
      <c r="I203" s="12" t="n">
        <v>9.233</v>
      </c>
      <c r="J203" s="12" t="n">
        <v>0.353</v>
      </c>
      <c r="K203" s="13" t="n">
        <f aca="false">I203-J203</f>
        <v>8.88</v>
      </c>
      <c r="L203" s="14" t="n">
        <f aca="false">IF(I203=0,"",100*J203/I203)</f>
        <v>3.82324271634355</v>
      </c>
      <c r="M203" s="12" t="n">
        <v>9.956</v>
      </c>
      <c r="N203" s="12" t="n">
        <v>0.344</v>
      </c>
      <c r="O203" s="15" t="n">
        <v>0.9273</v>
      </c>
      <c r="P203" s="15" t="n">
        <v>1.0268</v>
      </c>
      <c r="Q203" s="11"/>
    </row>
    <row r="204" customFormat="false" ht="15" hidden="false" customHeight="false" outlineLevel="0" collapsed="false">
      <c r="A204" s="7" t="str">
        <f aca="false">D204&amp;"-"&amp;TEXT(E204,"00")&amp;"-"&amp;H204&amp;"-"&amp;B204</f>
        <v>NF-07-100–200-wet</v>
      </c>
      <c r="B204" s="8" t="s">
        <v>71</v>
      </c>
      <c r="C204" s="8" t="s">
        <v>72</v>
      </c>
      <c r="D204" s="8" t="s">
        <v>41</v>
      </c>
      <c r="E204" s="8" t="n">
        <v>7</v>
      </c>
      <c r="F204" s="8" t="n">
        <v>100</v>
      </c>
      <c r="G204" s="8" t="n">
        <v>200</v>
      </c>
      <c r="H204" s="7" t="str">
        <f aca="false">F204&amp;"–"&amp;G204</f>
        <v>100–200</v>
      </c>
      <c r="I204" s="12" t="n">
        <v>7.387</v>
      </c>
      <c r="J204" s="12" t="n">
        <v>0.314</v>
      </c>
      <c r="K204" s="13" t="n">
        <f aca="false">I204-J204</f>
        <v>7.073</v>
      </c>
      <c r="L204" s="14" t="n">
        <f aca="false">IF(I204=0,"",100*J204/I204)</f>
        <v>4.25071070800054</v>
      </c>
      <c r="M204" s="12" t="n">
        <v>7.966</v>
      </c>
      <c r="N204" s="12" t="n">
        <v>0.309</v>
      </c>
      <c r="O204" s="15" t="n">
        <v>0.9273</v>
      </c>
      <c r="P204" s="15" t="n">
        <v>1.0181</v>
      </c>
      <c r="Q204" s="11"/>
    </row>
    <row r="205" customFormat="false" ht="15" hidden="false" customHeight="false" outlineLevel="0" collapsed="false">
      <c r="A205" s="7" t="str">
        <f aca="false">D205&amp;"-"&amp;TEXT(E205,"00")&amp;"-"&amp;H205&amp;"-"&amp;B205</f>
        <v>NF-07-200–300-wet</v>
      </c>
      <c r="B205" s="8" t="s">
        <v>71</v>
      </c>
      <c r="C205" s="8" t="s">
        <v>72</v>
      </c>
      <c r="D205" s="8" t="s">
        <v>41</v>
      </c>
      <c r="E205" s="8" t="n">
        <v>7</v>
      </c>
      <c r="F205" s="8" t="n">
        <v>200</v>
      </c>
      <c r="G205" s="8" t="n">
        <v>300</v>
      </c>
      <c r="H205" s="7" t="str">
        <f aca="false">F205&amp;"–"&amp;G205</f>
        <v>200–300</v>
      </c>
      <c r="I205" s="12" t="n">
        <v>4.402</v>
      </c>
      <c r="J205" s="12" t="n">
        <v>0.33</v>
      </c>
      <c r="K205" s="13" t="n">
        <f aca="false">I205-J205</f>
        <v>4.072</v>
      </c>
      <c r="L205" s="14" t="n">
        <f aca="false">IF(I205=0,"",100*J205/I205)</f>
        <v>7.49659245797365</v>
      </c>
      <c r="M205" s="12" t="n">
        <v>4.324</v>
      </c>
      <c r="N205" s="12" t="n">
        <v>0.324</v>
      </c>
      <c r="O205" s="15" t="n">
        <v>1.0181</v>
      </c>
      <c r="P205" s="15" t="n">
        <v>1.0181</v>
      </c>
      <c r="Q205" s="11"/>
    </row>
    <row r="206" customFormat="false" ht="15" hidden="false" customHeight="false" outlineLevel="0" collapsed="false">
      <c r="A206" s="7" t="str">
        <f aca="false">D206&amp;"-"&amp;TEXT(E206,"00")&amp;"-"&amp;H206&amp;"-"&amp;B206</f>
        <v>NF-08-0–100-wet</v>
      </c>
      <c r="B206" s="8" t="s">
        <v>71</v>
      </c>
      <c r="C206" s="8" t="s">
        <v>72</v>
      </c>
      <c r="D206" s="8" t="s">
        <v>41</v>
      </c>
      <c r="E206" s="8" t="n">
        <v>8</v>
      </c>
      <c r="F206" s="8" t="n">
        <v>0</v>
      </c>
      <c r="G206" s="8" t="n">
        <v>100</v>
      </c>
      <c r="H206" s="7" t="str">
        <f aca="false">F206&amp;"–"&amp;G206</f>
        <v>0–100</v>
      </c>
      <c r="I206" s="12" t="n">
        <v>18.779</v>
      </c>
      <c r="J206" s="12" t="n">
        <v>0.226</v>
      </c>
      <c r="K206" s="13" t="n">
        <f aca="false">I206-J206</f>
        <v>18.553</v>
      </c>
      <c r="L206" s="14" t="n">
        <f aca="false">IF(I206=0,"",100*J206/I206)</f>
        <v>1.20347196336333</v>
      </c>
      <c r="M206" s="12" t="n">
        <v>20.25</v>
      </c>
      <c r="N206" s="12" t="n">
        <v>0.22</v>
      </c>
      <c r="O206" s="15" t="n">
        <v>0.9273</v>
      </c>
      <c r="P206" s="15" t="n">
        <v>1.0268</v>
      </c>
      <c r="Q206" s="11"/>
    </row>
    <row r="207" customFormat="false" ht="15" hidden="false" customHeight="false" outlineLevel="0" collapsed="false">
      <c r="A207" s="7" t="str">
        <f aca="false">D207&amp;"-"&amp;TEXT(E207,"00")&amp;"-"&amp;H207&amp;"-"&amp;B207</f>
        <v>NF-08-100–200-wet</v>
      </c>
      <c r="B207" s="8" t="s">
        <v>71</v>
      </c>
      <c r="C207" s="8" t="s">
        <v>72</v>
      </c>
      <c r="D207" s="8" t="s">
        <v>41</v>
      </c>
      <c r="E207" s="8" t="n">
        <v>8</v>
      </c>
      <c r="F207" s="8" t="n">
        <v>100</v>
      </c>
      <c r="G207" s="8" t="n">
        <v>200</v>
      </c>
      <c r="H207" s="7" t="str">
        <f aca="false">F207&amp;"–"&amp;G207</f>
        <v>100–200</v>
      </c>
      <c r="I207" s="12" t="n">
        <v>9.895</v>
      </c>
      <c r="J207" s="12" t="n">
        <v>0.285</v>
      </c>
      <c r="K207" s="13" t="n">
        <f aca="false">I207-J207</f>
        <v>9.61</v>
      </c>
      <c r="L207" s="14" t="n">
        <f aca="false">IF(I207=0,"",100*J207/I207)</f>
        <v>2.88024254674078</v>
      </c>
      <c r="M207" s="12" t="n">
        <v>10.67</v>
      </c>
      <c r="N207" s="12" t="n">
        <v>0.28</v>
      </c>
      <c r="O207" s="15" t="n">
        <v>0.9273</v>
      </c>
      <c r="P207" s="15" t="n">
        <v>1.0181</v>
      </c>
      <c r="Q207" s="11"/>
    </row>
    <row r="208" customFormat="false" ht="15" hidden="false" customHeight="false" outlineLevel="0" collapsed="false">
      <c r="A208" s="7" t="str">
        <f aca="false">D208&amp;"-"&amp;TEXT(E208,"00")&amp;"-"&amp;H208&amp;"-"&amp;B208</f>
        <v>NF-08-200–300-wet</v>
      </c>
      <c r="B208" s="8" t="s">
        <v>71</v>
      </c>
      <c r="C208" s="8" t="s">
        <v>72</v>
      </c>
      <c r="D208" s="8" t="s">
        <v>41</v>
      </c>
      <c r="E208" s="8" t="n">
        <v>8</v>
      </c>
      <c r="F208" s="8" t="n">
        <v>200</v>
      </c>
      <c r="G208" s="8" t="n">
        <v>300</v>
      </c>
      <c r="H208" s="7" t="str">
        <f aca="false">F208&amp;"–"&amp;G208</f>
        <v>200–300</v>
      </c>
      <c r="I208" s="12" t="n">
        <v>11.189</v>
      </c>
      <c r="J208" s="12" t="n">
        <v>0.151</v>
      </c>
      <c r="K208" s="13" t="n">
        <f aca="false">I208-J208</f>
        <v>11.038</v>
      </c>
      <c r="L208" s="14" t="n">
        <f aca="false">IF(I208=0,"",100*J208/I208)</f>
        <v>1.34953972651712</v>
      </c>
      <c r="M208" s="12" t="n">
        <v>10.99</v>
      </c>
      <c r="N208" s="12" t="n">
        <v>0.148</v>
      </c>
      <c r="O208" s="15" t="n">
        <v>1.0181</v>
      </c>
      <c r="P208" s="15" t="n">
        <v>1.0181</v>
      </c>
      <c r="Q208" s="11"/>
    </row>
    <row r="209" customFormat="false" ht="15" hidden="false" customHeight="false" outlineLevel="0" collapsed="false">
      <c r="A209" s="7" t="str">
        <f aca="false">D209&amp;"-"&amp;TEXT(E209,"00")&amp;"-"&amp;H209&amp;"-"&amp;B209</f>
        <v>NF-09-0–100-wet</v>
      </c>
      <c r="B209" s="8" t="s">
        <v>71</v>
      </c>
      <c r="C209" s="8" t="s">
        <v>72</v>
      </c>
      <c r="D209" s="8" t="s">
        <v>41</v>
      </c>
      <c r="E209" s="8" t="n">
        <v>9</v>
      </c>
      <c r="F209" s="8" t="n">
        <v>0</v>
      </c>
      <c r="G209" s="8" t="n">
        <v>100</v>
      </c>
      <c r="H209" s="7" t="str">
        <f aca="false">F209&amp;"–"&amp;G209</f>
        <v>0–100</v>
      </c>
      <c r="I209" s="12" t="n">
        <v>8.79</v>
      </c>
      <c r="J209" s="12" t="n">
        <v>0.322</v>
      </c>
      <c r="K209" s="13" t="n">
        <f aca="false">I209-J209</f>
        <v>8.468</v>
      </c>
      <c r="L209" s="14" t="n">
        <f aca="false">IF(I209=0,"",100*J209/I209)</f>
        <v>3.66325369738339</v>
      </c>
      <c r="M209" s="12" t="n">
        <v>9.479</v>
      </c>
      <c r="N209" s="12" t="n">
        <v>0.314</v>
      </c>
      <c r="O209" s="15" t="n">
        <v>0.9273</v>
      </c>
      <c r="P209" s="15" t="n">
        <v>1.0268</v>
      </c>
      <c r="Q209" s="11"/>
    </row>
    <row r="210" customFormat="false" ht="15" hidden="false" customHeight="false" outlineLevel="0" collapsed="false">
      <c r="A210" s="7" t="str">
        <f aca="false">D210&amp;"-"&amp;TEXT(E210,"00")&amp;"-"&amp;H210&amp;"-"&amp;B210</f>
        <v>NF-09-100–200-wet</v>
      </c>
      <c r="B210" s="8" t="s">
        <v>71</v>
      </c>
      <c r="C210" s="8" t="s">
        <v>72</v>
      </c>
      <c r="D210" s="8" t="s">
        <v>41</v>
      </c>
      <c r="E210" s="8" t="n">
        <v>9</v>
      </c>
      <c r="F210" s="8" t="n">
        <v>100</v>
      </c>
      <c r="G210" s="8" t="n">
        <v>200</v>
      </c>
      <c r="H210" s="7" t="str">
        <f aca="false">F210&amp;"–"&amp;G210</f>
        <v>100–200</v>
      </c>
      <c r="I210" s="12" t="n">
        <v>7.602</v>
      </c>
      <c r="J210" s="12" t="n">
        <v>0.158</v>
      </c>
      <c r="K210" s="13" t="n">
        <f aca="false">I210-J210</f>
        <v>7.444</v>
      </c>
      <c r="L210" s="14" t="n">
        <f aca="false">IF(I210=0,"",100*J210/I210)</f>
        <v>2.07840042094186</v>
      </c>
      <c r="M210" s="12" t="n">
        <v>8.198</v>
      </c>
      <c r="N210" s="12" t="n">
        <v>0.155</v>
      </c>
      <c r="O210" s="15" t="n">
        <v>0.9273</v>
      </c>
      <c r="P210" s="15" t="n">
        <v>1.0181</v>
      </c>
      <c r="Q210" s="11"/>
    </row>
    <row r="211" customFormat="false" ht="15" hidden="false" customHeight="false" outlineLevel="0" collapsed="false">
      <c r="A211" s="7" t="str">
        <f aca="false">D211&amp;"-"&amp;TEXT(E211,"00")&amp;"-"&amp;H211&amp;"-"&amp;B211</f>
        <v>NF-09-200–300-wet</v>
      </c>
      <c r="B211" s="8" t="s">
        <v>71</v>
      </c>
      <c r="C211" s="8" t="s">
        <v>72</v>
      </c>
      <c r="D211" s="8" t="s">
        <v>41</v>
      </c>
      <c r="E211" s="8" t="n">
        <v>9</v>
      </c>
      <c r="F211" s="8" t="n">
        <v>200</v>
      </c>
      <c r="G211" s="8" t="n">
        <v>300</v>
      </c>
      <c r="H211" s="7" t="str">
        <f aca="false">F211&amp;"–"&amp;G211</f>
        <v>200–300</v>
      </c>
      <c r="I211" s="12" t="n">
        <v>7.334</v>
      </c>
      <c r="J211" s="12" t="n">
        <v>0.305</v>
      </c>
      <c r="K211" s="13" t="n">
        <f aca="false">I211-J211</f>
        <v>7.029</v>
      </c>
      <c r="L211" s="14" t="n">
        <f aca="false">IF(I211=0,"",100*J211/I211)</f>
        <v>4.15871284428688</v>
      </c>
      <c r="M211" s="12" t="n">
        <v>7.204</v>
      </c>
      <c r="N211" s="12" t="n">
        <v>0.3</v>
      </c>
      <c r="O211" s="15" t="n">
        <v>1.0181</v>
      </c>
      <c r="P211" s="15" t="n">
        <v>1.0181</v>
      </c>
      <c r="Q211" s="11"/>
    </row>
    <row r="212" customFormat="false" ht="15" hidden="false" customHeight="false" outlineLevel="0" collapsed="false">
      <c r="A212" s="7" t="str">
        <f aca="false">D212&amp;"-"&amp;TEXT(E212,"00")&amp;"-"&amp;H212&amp;"-"&amp;B212</f>
        <v>NF-10-0–100-wet</v>
      </c>
      <c r="B212" s="8" t="s">
        <v>71</v>
      </c>
      <c r="C212" s="8" t="s">
        <v>72</v>
      </c>
      <c r="D212" s="8" t="s">
        <v>41</v>
      </c>
      <c r="E212" s="8" t="n">
        <v>10</v>
      </c>
      <c r="F212" s="8" t="n">
        <v>0</v>
      </c>
      <c r="G212" s="8" t="n">
        <v>100</v>
      </c>
      <c r="H212" s="7" t="str">
        <f aca="false">F212&amp;"–"&amp;G212</f>
        <v>0–100</v>
      </c>
      <c r="I212" s="12" t="n">
        <v>14.764</v>
      </c>
      <c r="J212" s="12" t="n">
        <v>0.193</v>
      </c>
      <c r="K212" s="13" t="n">
        <f aca="false">I212-J212</f>
        <v>14.571</v>
      </c>
      <c r="L212" s="14" t="n">
        <f aca="false">IF(I212=0,"",100*J212/I212)</f>
        <v>1.30723381197507</v>
      </c>
      <c r="M212" s="12" t="n">
        <v>15.921</v>
      </c>
      <c r="N212" s="12" t="n">
        <v>0.188</v>
      </c>
      <c r="O212" s="15" t="n">
        <v>0.9273</v>
      </c>
      <c r="P212" s="15" t="n">
        <v>1.0268</v>
      </c>
      <c r="Q212" s="11"/>
    </row>
    <row r="213" customFormat="false" ht="15" hidden="false" customHeight="false" outlineLevel="0" collapsed="false">
      <c r="A213" s="7" t="str">
        <f aca="false">D213&amp;"-"&amp;TEXT(E213,"00")&amp;"-"&amp;H213&amp;"-"&amp;B213</f>
        <v>NF-10-100–200-wet</v>
      </c>
      <c r="B213" s="8" t="s">
        <v>71</v>
      </c>
      <c r="C213" s="8" t="s">
        <v>72</v>
      </c>
      <c r="D213" s="8" t="s">
        <v>41</v>
      </c>
      <c r="E213" s="8" t="n">
        <v>10</v>
      </c>
      <c r="F213" s="8" t="n">
        <v>100</v>
      </c>
      <c r="G213" s="8" t="n">
        <v>200</v>
      </c>
      <c r="H213" s="7" t="str">
        <f aca="false">F213&amp;"–"&amp;G213</f>
        <v>100–200</v>
      </c>
      <c r="I213" s="12" t="n">
        <v>9.595</v>
      </c>
      <c r="J213" s="12" t="n">
        <v>0.286</v>
      </c>
      <c r="K213" s="13" t="n">
        <f aca="false">I213-J213</f>
        <v>9.309</v>
      </c>
      <c r="L213" s="14" t="n">
        <f aca="false">IF(I213=0,"",100*J213/I213)</f>
        <v>2.98071912454403</v>
      </c>
      <c r="M213" s="12" t="n">
        <v>10.347</v>
      </c>
      <c r="N213" s="12" t="n">
        <v>0.281</v>
      </c>
      <c r="O213" s="15" t="n">
        <v>0.9273</v>
      </c>
      <c r="P213" s="15" t="n">
        <v>1.0181</v>
      </c>
      <c r="Q213" s="11"/>
    </row>
    <row r="214" customFormat="false" ht="15" hidden="false" customHeight="false" outlineLevel="0" collapsed="false">
      <c r="A214" s="7" t="str">
        <f aca="false">D214&amp;"-"&amp;TEXT(E214,"00")&amp;"-"&amp;H214&amp;"-"&amp;B214</f>
        <v>NF-10-200–300-wet</v>
      </c>
      <c r="B214" s="8" t="s">
        <v>71</v>
      </c>
      <c r="C214" s="8" t="s">
        <v>72</v>
      </c>
      <c r="D214" s="8" t="s">
        <v>41</v>
      </c>
      <c r="E214" s="8" t="n">
        <v>10</v>
      </c>
      <c r="F214" s="8" t="n">
        <v>200</v>
      </c>
      <c r="G214" s="8" t="n">
        <v>300</v>
      </c>
      <c r="H214" s="7" t="str">
        <f aca="false">F214&amp;"–"&amp;G214</f>
        <v>200–300</v>
      </c>
      <c r="I214" s="12" t="n">
        <v>10.043</v>
      </c>
      <c r="J214" s="12" t="n">
        <v>0.426</v>
      </c>
      <c r="K214" s="13" t="n">
        <f aca="false">I214-J214</f>
        <v>9.617</v>
      </c>
      <c r="L214" s="14" t="n">
        <f aca="false">IF(I214=0,"",100*J214/I214)</f>
        <v>4.24176043015035</v>
      </c>
      <c r="M214" s="12" t="n">
        <v>9.865</v>
      </c>
      <c r="N214" s="12" t="n">
        <v>0.419</v>
      </c>
      <c r="O214" s="15" t="n">
        <v>1.0181</v>
      </c>
      <c r="P214" s="15" t="n">
        <v>1.0181</v>
      </c>
      <c r="Q214" s="11"/>
    </row>
    <row r="215" customFormat="false" ht="15" hidden="false" customHeight="false" outlineLevel="0" collapsed="false">
      <c r="A215" s="7" t="str">
        <f aca="false">D215&amp;"-"&amp;TEXT(E215,"00")&amp;"-"&amp;H215&amp;"-"&amp;B215</f>
        <v>NF-11-0–100-wet</v>
      </c>
      <c r="B215" s="8" t="s">
        <v>71</v>
      </c>
      <c r="C215" s="8" t="s">
        <v>72</v>
      </c>
      <c r="D215" s="8" t="s">
        <v>41</v>
      </c>
      <c r="E215" s="8" t="n">
        <v>11</v>
      </c>
      <c r="F215" s="8" t="n">
        <v>0</v>
      </c>
      <c r="G215" s="8" t="n">
        <v>100</v>
      </c>
      <c r="H215" s="7" t="str">
        <f aca="false">F215&amp;"–"&amp;G215</f>
        <v>0–100</v>
      </c>
      <c r="I215" s="12" t="n">
        <v>8.904</v>
      </c>
      <c r="J215" s="12" t="n">
        <v>0.259</v>
      </c>
      <c r="K215" s="13" t="n">
        <f aca="false">I215-J215</f>
        <v>8.645</v>
      </c>
      <c r="L215" s="14" t="n">
        <f aca="false">IF(I215=0,"",100*J215/I215)</f>
        <v>2.90880503144654</v>
      </c>
      <c r="M215" s="12" t="n">
        <v>9.602</v>
      </c>
      <c r="N215" s="12" t="n">
        <v>0.252</v>
      </c>
      <c r="O215" s="15" t="n">
        <v>0.9273</v>
      </c>
      <c r="P215" s="15" t="n">
        <v>1.0268</v>
      </c>
      <c r="Q215" s="11"/>
    </row>
    <row r="216" customFormat="false" ht="15" hidden="false" customHeight="false" outlineLevel="0" collapsed="false">
      <c r="A216" s="7" t="str">
        <f aca="false">D216&amp;"-"&amp;TEXT(E216,"00")&amp;"-"&amp;H216&amp;"-"&amp;B216</f>
        <v>NF-11-100–200-wet</v>
      </c>
      <c r="B216" s="8" t="s">
        <v>71</v>
      </c>
      <c r="C216" s="8" t="s">
        <v>72</v>
      </c>
      <c r="D216" s="8" t="s">
        <v>41</v>
      </c>
      <c r="E216" s="8" t="n">
        <v>11</v>
      </c>
      <c r="F216" s="8" t="n">
        <v>100</v>
      </c>
      <c r="G216" s="8" t="n">
        <v>200</v>
      </c>
      <c r="H216" s="7" t="str">
        <f aca="false">F216&amp;"–"&amp;G216</f>
        <v>100–200</v>
      </c>
      <c r="I216" s="12" t="n">
        <v>7.748</v>
      </c>
      <c r="J216" s="12" t="n">
        <v>0.095</v>
      </c>
      <c r="K216" s="13" t="n">
        <f aca="false">I216-J216</f>
        <v>7.653</v>
      </c>
      <c r="L216" s="14" t="n">
        <f aca="false">IF(I216=0,"",100*J216/I216)</f>
        <v>1.22612287041817</v>
      </c>
      <c r="M216" s="12" t="n">
        <v>8.355</v>
      </c>
      <c r="N216" s="12" t="n">
        <v>0.093</v>
      </c>
      <c r="O216" s="15" t="n">
        <v>0.9273</v>
      </c>
      <c r="P216" s="15" t="n">
        <v>1.0181</v>
      </c>
      <c r="Q216" s="11"/>
    </row>
    <row r="217" customFormat="false" ht="15" hidden="false" customHeight="false" outlineLevel="0" collapsed="false">
      <c r="A217" s="7" t="str">
        <f aca="false">D217&amp;"-"&amp;TEXT(E217,"00")&amp;"-"&amp;H217&amp;"-"&amp;B217</f>
        <v>NF-11-200–300-wet</v>
      </c>
      <c r="B217" s="8" t="s">
        <v>71</v>
      </c>
      <c r="C217" s="8" t="s">
        <v>72</v>
      </c>
      <c r="D217" s="8" t="s">
        <v>41</v>
      </c>
      <c r="E217" s="8" t="n">
        <v>11</v>
      </c>
      <c r="F217" s="8" t="n">
        <v>200</v>
      </c>
      <c r="G217" s="8" t="n">
        <v>300</v>
      </c>
      <c r="H217" s="7" t="str">
        <f aca="false">F217&amp;"–"&amp;G217</f>
        <v>200–300</v>
      </c>
      <c r="I217" s="12" t="n">
        <v>6.649</v>
      </c>
      <c r="J217" s="12" t="n">
        <v>0.333</v>
      </c>
      <c r="K217" s="13" t="n">
        <f aca="false">I217-J217</f>
        <v>6.316</v>
      </c>
      <c r="L217" s="14" t="n">
        <f aca="false">IF(I217=0,"",100*J217/I217)</f>
        <v>5.00827192058956</v>
      </c>
      <c r="M217" s="12" t="n">
        <v>6.531</v>
      </c>
      <c r="N217" s="12" t="n">
        <v>0.328</v>
      </c>
      <c r="O217" s="15" t="n">
        <v>1.0181</v>
      </c>
      <c r="P217" s="15" t="n">
        <v>1.0181</v>
      </c>
      <c r="Q217" s="11"/>
    </row>
    <row r="218" customFormat="false" ht="15" hidden="false" customHeight="false" outlineLevel="0" collapsed="false">
      <c r="A218" s="7" t="str">
        <f aca="false">D218&amp;"-"&amp;TEXT(E218,"00")&amp;"-"&amp;H218&amp;"-"&amp;B218</f>
        <v>NF-12-0–100-wet</v>
      </c>
      <c r="B218" s="8" t="s">
        <v>71</v>
      </c>
      <c r="C218" s="8" t="s">
        <v>72</v>
      </c>
      <c r="D218" s="8" t="s">
        <v>41</v>
      </c>
      <c r="E218" s="8" t="n">
        <v>12</v>
      </c>
      <c r="F218" s="8" t="n">
        <v>0</v>
      </c>
      <c r="G218" s="8" t="n">
        <v>100</v>
      </c>
      <c r="H218" s="7" t="str">
        <f aca="false">F218&amp;"–"&amp;G218</f>
        <v>0–100</v>
      </c>
      <c r="I218" s="12" t="n">
        <v>13.822</v>
      </c>
      <c r="J218" s="12" t="n">
        <v>0.289</v>
      </c>
      <c r="K218" s="13" t="n">
        <f aca="false">I218-J218</f>
        <v>13.533</v>
      </c>
      <c r="L218" s="14" t="n">
        <f aca="false">IF(I218=0,"",100*J218/I218)</f>
        <v>2.09086962812907</v>
      </c>
      <c r="M218" s="12" t="n">
        <v>14.905</v>
      </c>
      <c r="N218" s="12" t="n">
        <v>0.282</v>
      </c>
      <c r="O218" s="15" t="n">
        <v>0.9273</v>
      </c>
      <c r="P218" s="15" t="n">
        <v>1.0268</v>
      </c>
      <c r="Q218" s="11"/>
    </row>
    <row r="219" customFormat="false" ht="15" hidden="false" customHeight="false" outlineLevel="0" collapsed="false">
      <c r="A219" s="7" t="str">
        <f aca="false">D219&amp;"-"&amp;TEXT(E219,"00")&amp;"-"&amp;H219&amp;"-"&amp;B219</f>
        <v>NF-12-100–200-wet</v>
      </c>
      <c r="B219" s="8" t="s">
        <v>71</v>
      </c>
      <c r="C219" s="8" t="s">
        <v>72</v>
      </c>
      <c r="D219" s="8" t="s">
        <v>41</v>
      </c>
      <c r="E219" s="8" t="n">
        <v>12</v>
      </c>
      <c r="F219" s="8" t="n">
        <v>100</v>
      </c>
      <c r="G219" s="8" t="n">
        <v>200</v>
      </c>
      <c r="H219" s="7" t="str">
        <f aca="false">F219&amp;"–"&amp;G219</f>
        <v>100–200</v>
      </c>
      <c r="I219" s="12" t="n">
        <v>8.549</v>
      </c>
      <c r="J219" s="12" t="n">
        <v>0.445</v>
      </c>
      <c r="K219" s="13" t="n">
        <f aca="false">I219-J219</f>
        <v>8.104</v>
      </c>
      <c r="L219" s="14" t="n">
        <f aca="false">IF(I219=0,"",100*J219/I219)</f>
        <v>5.20528716808984</v>
      </c>
      <c r="M219" s="12" t="n">
        <v>9.219</v>
      </c>
      <c r="N219" s="12" t="n">
        <v>0.437</v>
      </c>
      <c r="O219" s="15" t="n">
        <v>0.9273</v>
      </c>
      <c r="P219" s="15" t="n">
        <v>1.0181</v>
      </c>
      <c r="Q219" s="11"/>
    </row>
    <row r="220" customFormat="false" ht="15" hidden="false" customHeight="false" outlineLevel="0" collapsed="false">
      <c r="A220" s="7" t="str">
        <f aca="false">D220&amp;"-"&amp;TEXT(E220,"00")&amp;"-"&amp;H220&amp;"-"&amp;B220</f>
        <v>NF-12-200–300-wet</v>
      </c>
      <c r="B220" s="8" t="s">
        <v>71</v>
      </c>
      <c r="C220" s="8" t="s">
        <v>72</v>
      </c>
      <c r="D220" s="8" t="s">
        <v>41</v>
      </c>
      <c r="E220" s="8" t="n">
        <v>12</v>
      </c>
      <c r="F220" s="8" t="n">
        <v>200</v>
      </c>
      <c r="G220" s="8" t="n">
        <v>300</v>
      </c>
      <c r="H220" s="7" t="str">
        <f aca="false">F220&amp;"–"&amp;G220</f>
        <v>200–300</v>
      </c>
      <c r="I220" s="12" t="n">
        <v>9.367</v>
      </c>
      <c r="J220" s="12" t="n">
        <v>0.091</v>
      </c>
      <c r="K220" s="13" t="n">
        <f aca="false">I220-J220</f>
        <v>9.276</v>
      </c>
      <c r="L220" s="14" t="n">
        <f aca="false">IF(I220=0,"",100*J220/I220)</f>
        <v>0.971495676310451</v>
      </c>
      <c r="M220" s="12" t="n">
        <v>9.2</v>
      </c>
      <c r="N220" s="12" t="n">
        <v>0.089</v>
      </c>
      <c r="O220" s="15" t="n">
        <v>1.0181</v>
      </c>
      <c r="P220" s="15" t="n">
        <v>1.0181</v>
      </c>
      <c r="Q220" s="11"/>
    </row>
    <row r="221" customFormat="false" ht="15" hidden="false" customHeight="false" outlineLevel="0" collapsed="false">
      <c r="A221" s="7" t="str">
        <f aca="false">D221&amp;"-"&amp;TEXT(E221,"00")&amp;"-"&amp;H221&amp;"-"&amp;B221</f>
        <v>NF-13-0–100-wet</v>
      </c>
      <c r="B221" s="8" t="s">
        <v>71</v>
      </c>
      <c r="C221" s="8" t="s">
        <v>72</v>
      </c>
      <c r="D221" s="8" t="s">
        <v>41</v>
      </c>
      <c r="E221" s="8" t="n">
        <v>13</v>
      </c>
      <c r="F221" s="8" t="n">
        <v>0</v>
      </c>
      <c r="G221" s="8" t="n">
        <v>100</v>
      </c>
      <c r="H221" s="7" t="str">
        <f aca="false">F221&amp;"–"&amp;G221</f>
        <v>0–100</v>
      </c>
      <c r="I221" s="12" t="n">
        <v>10.694</v>
      </c>
      <c r="J221" s="12" t="n">
        <v>0.065</v>
      </c>
      <c r="K221" s="13" t="n">
        <f aca="false">I221-J221</f>
        <v>10.629</v>
      </c>
      <c r="L221" s="14" t="n">
        <f aca="false">IF(I221=0,"",100*J221/I221)</f>
        <v>0.607817467738919</v>
      </c>
      <c r="M221" s="12" t="n">
        <v>11.532</v>
      </c>
      <c r="N221" s="12" t="n">
        <v>0.063</v>
      </c>
      <c r="O221" s="15" t="n">
        <v>0.9273</v>
      </c>
      <c r="P221" s="15" t="n">
        <v>1.0268</v>
      </c>
      <c r="Q221" s="11"/>
    </row>
    <row r="222" customFormat="false" ht="15" hidden="false" customHeight="false" outlineLevel="0" collapsed="false">
      <c r="A222" s="7" t="str">
        <f aca="false">D222&amp;"-"&amp;TEXT(E222,"00")&amp;"-"&amp;H222&amp;"-"&amp;B222</f>
        <v>NF-13-100–200-wet</v>
      </c>
      <c r="B222" s="8" t="s">
        <v>71</v>
      </c>
      <c r="C222" s="8" t="s">
        <v>72</v>
      </c>
      <c r="D222" s="8" t="s">
        <v>41</v>
      </c>
      <c r="E222" s="8" t="n">
        <v>13</v>
      </c>
      <c r="F222" s="8" t="n">
        <v>100</v>
      </c>
      <c r="G222" s="8" t="n">
        <v>200</v>
      </c>
      <c r="H222" s="7" t="str">
        <f aca="false">F222&amp;"–"&amp;G222</f>
        <v>100–200</v>
      </c>
      <c r="I222" s="12" t="n">
        <v>6.933</v>
      </c>
      <c r="J222" s="12" t="n">
        <v>0.126</v>
      </c>
      <c r="K222" s="13" t="n">
        <f aca="false">I222-J222</f>
        <v>6.807</v>
      </c>
      <c r="L222" s="14" t="n">
        <f aca="false">IF(I222=0,"",100*J222/I222)</f>
        <v>1.81739506707053</v>
      </c>
      <c r="M222" s="12" t="n">
        <v>7.476</v>
      </c>
      <c r="N222" s="12" t="n">
        <v>0.124</v>
      </c>
      <c r="O222" s="15" t="n">
        <v>0.9273</v>
      </c>
      <c r="P222" s="15" t="n">
        <v>1.0181</v>
      </c>
      <c r="Q222" s="11"/>
    </row>
    <row r="223" customFormat="false" ht="15" hidden="false" customHeight="false" outlineLevel="0" collapsed="false">
      <c r="A223" s="7" t="str">
        <f aca="false">D223&amp;"-"&amp;TEXT(E223,"00")&amp;"-"&amp;H223&amp;"-"&amp;B223</f>
        <v>NF-13-200–300-wet</v>
      </c>
      <c r="B223" s="8" t="s">
        <v>71</v>
      </c>
      <c r="C223" s="8" t="s">
        <v>72</v>
      </c>
      <c r="D223" s="8" t="s">
        <v>41</v>
      </c>
      <c r="E223" s="8" t="n">
        <v>13</v>
      </c>
      <c r="F223" s="8" t="n">
        <v>200</v>
      </c>
      <c r="G223" s="8" t="n">
        <v>300</v>
      </c>
      <c r="H223" s="7" t="str">
        <f aca="false">F223&amp;"–"&amp;G223</f>
        <v>200–300</v>
      </c>
      <c r="I223" s="12" t="n">
        <v>8.049</v>
      </c>
      <c r="J223" s="12" t="n">
        <v>0.335</v>
      </c>
      <c r="K223" s="13" t="n">
        <f aca="false">I223-J223</f>
        <v>7.714</v>
      </c>
      <c r="L223" s="14" t="n">
        <f aca="false">IF(I223=0,"",100*J223/I223)</f>
        <v>4.16200770282023</v>
      </c>
      <c r="M223" s="12" t="n">
        <v>7.906</v>
      </c>
      <c r="N223" s="12" t="n">
        <v>0.329</v>
      </c>
      <c r="O223" s="15" t="n">
        <v>1.0181</v>
      </c>
      <c r="P223" s="15" t="n">
        <v>1.0181</v>
      </c>
      <c r="Q223" s="11"/>
    </row>
    <row r="224" customFormat="false" ht="15" hidden="false" customHeight="false" outlineLevel="0" collapsed="false">
      <c r="A224" s="7" t="str">
        <f aca="false">D224&amp;"-"&amp;TEXT(E224,"00")&amp;"-"&amp;H224&amp;"-"&amp;B224</f>
        <v>NF-14-0–100-wet</v>
      </c>
      <c r="B224" s="8" t="s">
        <v>71</v>
      </c>
      <c r="C224" s="8" t="s">
        <v>72</v>
      </c>
      <c r="D224" s="8" t="s">
        <v>41</v>
      </c>
      <c r="E224" s="8" t="n">
        <v>14</v>
      </c>
      <c r="F224" s="8" t="n">
        <v>0</v>
      </c>
      <c r="G224" s="8" t="n">
        <v>100</v>
      </c>
      <c r="H224" s="7" t="str">
        <f aca="false">F224&amp;"–"&amp;G224</f>
        <v>0–100</v>
      </c>
      <c r="I224" s="12" t="n">
        <v>13.754</v>
      </c>
      <c r="J224" s="12" t="n">
        <v>0.29</v>
      </c>
      <c r="K224" s="13" t="n">
        <f aca="false">I224-J224</f>
        <v>13.464</v>
      </c>
      <c r="L224" s="14" t="n">
        <f aca="false">IF(I224=0,"",100*J224/I224)</f>
        <v>2.10847753380835</v>
      </c>
      <c r="M224" s="12" t="n">
        <v>14.832</v>
      </c>
      <c r="N224" s="12" t="n">
        <v>0.282</v>
      </c>
      <c r="O224" s="15" t="n">
        <v>0.9273</v>
      </c>
      <c r="P224" s="15" t="n">
        <v>1.0268</v>
      </c>
      <c r="Q224" s="11"/>
    </row>
    <row r="225" customFormat="false" ht="15" hidden="false" customHeight="false" outlineLevel="0" collapsed="false">
      <c r="A225" s="7" t="str">
        <f aca="false">D225&amp;"-"&amp;TEXT(E225,"00")&amp;"-"&amp;H225&amp;"-"&amp;B225</f>
        <v>NF-14-100–200-wet</v>
      </c>
      <c r="B225" s="8" t="s">
        <v>71</v>
      </c>
      <c r="C225" s="8" t="s">
        <v>72</v>
      </c>
      <c r="D225" s="8" t="s">
        <v>41</v>
      </c>
      <c r="E225" s="8" t="n">
        <v>14</v>
      </c>
      <c r="F225" s="8" t="n">
        <v>100</v>
      </c>
      <c r="G225" s="8" t="n">
        <v>200</v>
      </c>
      <c r="H225" s="7" t="str">
        <f aca="false">F225&amp;"–"&amp;G225</f>
        <v>100–200</v>
      </c>
      <c r="I225" s="12" t="n">
        <v>8.936</v>
      </c>
      <c r="J225" s="12" t="n">
        <v>0.19</v>
      </c>
      <c r="K225" s="13" t="n">
        <f aca="false">I225-J225</f>
        <v>8.746</v>
      </c>
      <c r="L225" s="14" t="n">
        <f aca="false">IF(I225=0,"",100*J225/I225)</f>
        <v>2.12623097582811</v>
      </c>
      <c r="M225" s="12" t="n">
        <v>9.636</v>
      </c>
      <c r="N225" s="12" t="n">
        <v>0.186</v>
      </c>
      <c r="O225" s="15" t="n">
        <v>0.9273</v>
      </c>
      <c r="P225" s="15" t="n">
        <v>1.0181</v>
      </c>
      <c r="Q225" s="11"/>
    </row>
    <row r="226" customFormat="false" ht="15" hidden="false" customHeight="false" outlineLevel="0" collapsed="false">
      <c r="A226" s="7" t="str">
        <f aca="false">D226&amp;"-"&amp;TEXT(E226,"00")&amp;"-"&amp;H226&amp;"-"&amp;B226</f>
        <v>NF-14-200–300-wet</v>
      </c>
      <c r="B226" s="8" t="s">
        <v>71</v>
      </c>
      <c r="C226" s="8" t="s">
        <v>72</v>
      </c>
      <c r="D226" s="8" t="s">
        <v>41</v>
      </c>
      <c r="E226" s="8" t="n">
        <v>14</v>
      </c>
      <c r="F226" s="8" t="n">
        <v>200</v>
      </c>
      <c r="G226" s="8" t="n">
        <v>300</v>
      </c>
      <c r="H226" s="7" t="str">
        <f aca="false">F226&amp;"–"&amp;G226</f>
        <v>200–300</v>
      </c>
      <c r="I226" s="12" t="n">
        <v>8.746</v>
      </c>
      <c r="J226" s="12" t="n">
        <v>0.394</v>
      </c>
      <c r="K226" s="13" t="n">
        <f aca="false">I226-J226</f>
        <v>8.352</v>
      </c>
      <c r="L226" s="14" t="n">
        <f aca="false">IF(I226=0,"",100*J226/I226)</f>
        <v>4.50491653327235</v>
      </c>
      <c r="M226" s="12" t="n">
        <v>8.591</v>
      </c>
      <c r="N226" s="12" t="n">
        <v>0.387</v>
      </c>
      <c r="O226" s="15" t="n">
        <v>1.0181</v>
      </c>
      <c r="P226" s="15" t="n">
        <v>1.0181</v>
      </c>
      <c r="Q226" s="11"/>
    </row>
    <row r="227" customFormat="false" ht="15" hidden="false" customHeight="false" outlineLevel="0" collapsed="false">
      <c r="A227" s="7" t="str">
        <f aca="false">D227&amp;"-"&amp;TEXT(E227,"00")&amp;"-"&amp;H227&amp;"-"&amp;B227</f>
        <v>NF-15-0–100-wet</v>
      </c>
      <c r="B227" s="8" t="s">
        <v>71</v>
      </c>
      <c r="C227" s="8" t="s">
        <v>72</v>
      </c>
      <c r="D227" s="8" t="s">
        <v>41</v>
      </c>
      <c r="E227" s="8" t="n">
        <v>15</v>
      </c>
      <c r="F227" s="8" t="n">
        <v>0</v>
      </c>
      <c r="G227" s="8" t="n">
        <v>100</v>
      </c>
      <c r="H227" s="7" t="str">
        <f aca="false">F227&amp;"–"&amp;G227</f>
        <v>0–100</v>
      </c>
      <c r="I227" s="12" t="n">
        <v>17.929</v>
      </c>
      <c r="J227" s="12" t="n">
        <v>0.288</v>
      </c>
      <c r="K227" s="13" t="n">
        <f aca="false">I227-J227</f>
        <v>17.641</v>
      </c>
      <c r="L227" s="14" t="n">
        <f aca="false">IF(I227=0,"",100*J227/I227)</f>
        <v>1.60633610351944</v>
      </c>
      <c r="M227" s="12" t="n">
        <v>19.334</v>
      </c>
      <c r="N227" s="12" t="n">
        <v>0.281</v>
      </c>
      <c r="O227" s="15" t="n">
        <v>0.9273</v>
      </c>
      <c r="P227" s="15" t="n">
        <v>1.0268</v>
      </c>
      <c r="Q227" s="11"/>
    </row>
    <row r="228" customFormat="false" ht="15" hidden="false" customHeight="false" outlineLevel="0" collapsed="false">
      <c r="A228" s="7" t="str">
        <f aca="false">D228&amp;"-"&amp;TEXT(E228,"00")&amp;"-"&amp;H228&amp;"-"&amp;B228</f>
        <v>NF-15-100–200-wet</v>
      </c>
      <c r="B228" s="8" t="s">
        <v>71</v>
      </c>
      <c r="C228" s="8" t="s">
        <v>72</v>
      </c>
      <c r="D228" s="8" t="s">
        <v>41</v>
      </c>
      <c r="E228" s="8" t="n">
        <v>15</v>
      </c>
      <c r="F228" s="8" t="n">
        <v>100</v>
      </c>
      <c r="G228" s="8" t="n">
        <v>200</v>
      </c>
      <c r="H228" s="7" t="str">
        <f aca="false">F228&amp;"–"&amp;G228</f>
        <v>100–200</v>
      </c>
      <c r="I228" s="12" t="n">
        <v>14.138</v>
      </c>
      <c r="J228" s="12" t="n">
        <v>0.063</v>
      </c>
      <c r="K228" s="13" t="n">
        <f aca="false">I228-J228</f>
        <v>14.075</v>
      </c>
      <c r="L228" s="14" t="n">
        <f aca="false">IF(I228=0,"",100*J228/I228)</f>
        <v>0.445607582402037</v>
      </c>
      <c r="M228" s="12" t="n">
        <v>15.246</v>
      </c>
      <c r="N228" s="12" t="n">
        <v>0.062</v>
      </c>
      <c r="O228" s="15" t="n">
        <v>0.9273</v>
      </c>
      <c r="P228" s="15" t="n">
        <v>1.0181</v>
      </c>
      <c r="Q228" s="11"/>
    </row>
    <row r="229" customFormat="false" ht="15" hidden="false" customHeight="false" outlineLevel="0" collapsed="false">
      <c r="A229" s="7" t="str">
        <f aca="false">D229&amp;"-"&amp;TEXT(E229,"00")&amp;"-"&amp;H229&amp;"-"&amp;B229</f>
        <v>NF-15-200–300-wet</v>
      </c>
      <c r="B229" s="8" t="s">
        <v>71</v>
      </c>
      <c r="C229" s="8" t="s">
        <v>72</v>
      </c>
      <c r="D229" s="8" t="s">
        <v>41</v>
      </c>
      <c r="E229" s="8" t="n">
        <v>15</v>
      </c>
      <c r="F229" s="8" t="n">
        <v>200</v>
      </c>
      <c r="G229" s="8" t="n">
        <v>300</v>
      </c>
      <c r="H229" s="7" t="str">
        <f aca="false">F229&amp;"–"&amp;G229</f>
        <v>200–300</v>
      </c>
      <c r="I229" s="12" t="n">
        <v>10.298</v>
      </c>
      <c r="J229" s="12" t="n">
        <v>0.366</v>
      </c>
      <c r="K229" s="13" t="n">
        <f aca="false">I229-J229</f>
        <v>9.932</v>
      </c>
      <c r="L229" s="14" t="n">
        <f aca="false">IF(I229=0,"",100*J229/I229)</f>
        <v>3.55408817246067</v>
      </c>
      <c r="M229" s="12" t="n">
        <v>10.115</v>
      </c>
      <c r="N229" s="12" t="n">
        <v>0.36</v>
      </c>
      <c r="O229" s="15" t="n">
        <v>1.0181</v>
      </c>
      <c r="P229" s="15" t="n">
        <v>1.0181</v>
      </c>
      <c r="Q229" s="11"/>
    </row>
    <row r="230" customFormat="false" ht="15" hidden="false" customHeight="false" outlineLevel="0" collapsed="false">
      <c r="A230" s="7" t="str">
        <f aca="false">D230&amp;"-"&amp;TEXT(E230,"00")&amp;"-"&amp;H230&amp;"-"&amp;B230</f>
        <v>NF-16-0–100-wet</v>
      </c>
      <c r="B230" s="8" t="s">
        <v>71</v>
      </c>
      <c r="C230" s="8" t="s">
        <v>72</v>
      </c>
      <c r="D230" s="8" t="s">
        <v>41</v>
      </c>
      <c r="E230" s="8" t="n">
        <v>16</v>
      </c>
      <c r="F230" s="8" t="n">
        <v>0</v>
      </c>
      <c r="G230" s="8" t="n">
        <v>100</v>
      </c>
      <c r="H230" s="7" t="str">
        <f aca="false">F230&amp;"–"&amp;G230</f>
        <v>0–100</v>
      </c>
      <c r="I230" s="12" t="n">
        <v>14.003</v>
      </c>
      <c r="J230" s="12" t="n">
        <v>0.259</v>
      </c>
      <c r="K230" s="13" t="n">
        <f aca="false">I230-J230</f>
        <v>13.744</v>
      </c>
      <c r="L230" s="14" t="n">
        <f aca="false">IF(I230=0,"",100*J230/I230)</f>
        <v>1.84960365635935</v>
      </c>
      <c r="M230" s="12" t="n">
        <v>15.101</v>
      </c>
      <c r="N230" s="12" t="n">
        <v>0.252</v>
      </c>
      <c r="O230" s="15" t="n">
        <v>0.9273</v>
      </c>
      <c r="P230" s="15" t="n">
        <v>1.0268</v>
      </c>
      <c r="Q230" s="11"/>
    </row>
    <row r="231" customFormat="false" ht="15" hidden="false" customHeight="false" outlineLevel="0" collapsed="false">
      <c r="A231" s="7" t="str">
        <f aca="false">D231&amp;"-"&amp;TEXT(E231,"00")&amp;"-"&amp;H231&amp;"-"&amp;B231</f>
        <v>NF-16-100–200-wet</v>
      </c>
      <c r="B231" s="8" t="s">
        <v>71</v>
      </c>
      <c r="C231" s="8" t="s">
        <v>72</v>
      </c>
      <c r="D231" s="8" t="s">
        <v>41</v>
      </c>
      <c r="E231" s="8" t="n">
        <v>16</v>
      </c>
      <c r="F231" s="8" t="n">
        <v>100</v>
      </c>
      <c r="G231" s="8" t="n">
        <v>200</v>
      </c>
      <c r="H231" s="7" t="str">
        <f aca="false">F231&amp;"–"&amp;G231</f>
        <v>100–200</v>
      </c>
      <c r="I231" s="12" t="n">
        <v>8.477</v>
      </c>
      <c r="J231" s="12" t="n">
        <v>0.064</v>
      </c>
      <c r="K231" s="13" t="n">
        <f aca="false">I231-J231</f>
        <v>8.413</v>
      </c>
      <c r="L231" s="14" t="n">
        <f aca="false">IF(I231=0,"",100*J231/I231)</f>
        <v>0.754984074554677</v>
      </c>
      <c r="M231" s="12" t="n">
        <v>9.141</v>
      </c>
      <c r="N231" s="12" t="n">
        <v>0.062</v>
      </c>
      <c r="O231" s="15" t="n">
        <v>0.9273</v>
      </c>
      <c r="P231" s="15" t="n">
        <v>1.0181</v>
      </c>
      <c r="Q231" s="11"/>
    </row>
    <row r="232" customFormat="false" ht="15" hidden="false" customHeight="false" outlineLevel="0" collapsed="false">
      <c r="A232" s="7" t="str">
        <f aca="false">D232&amp;"-"&amp;TEXT(E232,"00")&amp;"-"&amp;H232&amp;"-"&amp;B232</f>
        <v>NF-16-200–300-wet</v>
      </c>
      <c r="B232" s="8" t="s">
        <v>71</v>
      </c>
      <c r="C232" s="8" t="s">
        <v>72</v>
      </c>
      <c r="D232" s="8" t="s">
        <v>41</v>
      </c>
      <c r="E232" s="8" t="n">
        <v>16</v>
      </c>
      <c r="F232" s="8" t="n">
        <v>200</v>
      </c>
      <c r="G232" s="8" t="n">
        <v>300</v>
      </c>
      <c r="H232" s="7" t="str">
        <f aca="false">F232&amp;"–"&amp;G232</f>
        <v>200–300</v>
      </c>
      <c r="I232" s="12" t="n">
        <v>6.674</v>
      </c>
      <c r="J232" s="12" t="n">
        <v>0.244</v>
      </c>
      <c r="K232" s="13" t="n">
        <f aca="false">I232-J232</f>
        <v>6.43</v>
      </c>
      <c r="L232" s="14" t="n">
        <f aca="false">IF(I232=0,"",100*J232/I232)</f>
        <v>3.65597842373389</v>
      </c>
      <c r="M232" s="12" t="n">
        <v>6.555</v>
      </c>
      <c r="N232" s="12" t="n">
        <v>0.24</v>
      </c>
      <c r="O232" s="15" t="n">
        <v>1.0181</v>
      </c>
      <c r="P232" s="15" t="n">
        <v>1.0181</v>
      </c>
      <c r="Q232" s="11"/>
    </row>
    <row r="233" customFormat="false" ht="15" hidden="false" customHeight="false" outlineLevel="0" collapsed="false">
      <c r="A233" s="7" t="str">
        <f aca="false">D233&amp;"-"&amp;TEXT(E233,"00")&amp;"-"&amp;H233&amp;"-"&amp;B233</f>
        <v>NF-17-0–100-wet</v>
      </c>
      <c r="B233" s="8" t="s">
        <v>71</v>
      </c>
      <c r="C233" s="8" t="s">
        <v>72</v>
      </c>
      <c r="D233" s="8" t="s">
        <v>41</v>
      </c>
      <c r="E233" s="8" t="n">
        <v>17</v>
      </c>
      <c r="F233" s="8" t="n">
        <v>0</v>
      </c>
      <c r="G233" s="8" t="n">
        <v>100</v>
      </c>
      <c r="H233" s="7" t="str">
        <f aca="false">F233&amp;"–"&amp;G233</f>
        <v>0–100</v>
      </c>
      <c r="I233" s="12" t="n">
        <v>18.209</v>
      </c>
      <c r="J233" s="12" t="n">
        <v>0.259</v>
      </c>
      <c r="K233" s="13" t="n">
        <f aca="false">I233-J233</f>
        <v>17.95</v>
      </c>
      <c r="L233" s="14" t="n">
        <f aca="false">IF(I233=0,"",100*J233/I233)</f>
        <v>1.42237355154045</v>
      </c>
      <c r="M233" s="12" t="n">
        <v>19.637</v>
      </c>
      <c r="N233" s="12" t="n">
        <v>0.252</v>
      </c>
      <c r="O233" s="15" t="n">
        <v>0.9273</v>
      </c>
      <c r="P233" s="15" t="n">
        <v>1.0268</v>
      </c>
      <c r="Q233" s="11"/>
    </row>
    <row r="234" customFormat="false" ht="15" hidden="false" customHeight="false" outlineLevel="0" collapsed="false">
      <c r="A234" s="7" t="str">
        <f aca="false">D234&amp;"-"&amp;TEXT(E234,"00")&amp;"-"&amp;H234&amp;"-"&amp;B234</f>
        <v>NF-17-100–200-wet</v>
      </c>
      <c r="B234" s="8" t="s">
        <v>71</v>
      </c>
      <c r="C234" s="8" t="s">
        <v>72</v>
      </c>
      <c r="D234" s="8" t="s">
        <v>41</v>
      </c>
      <c r="E234" s="8" t="n">
        <v>17</v>
      </c>
      <c r="F234" s="8" t="n">
        <v>100</v>
      </c>
      <c r="G234" s="8" t="n">
        <v>200</v>
      </c>
      <c r="H234" s="7" t="str">
        <f aca="false">F234&amp;"–"&amp;G234</f>
        <v>100–200</v>
      </c>
      <c r="I234" s="12" t="n">
        <v>12.598</v>
      </c>
      <c r="J234" s="12" t="n">
        <v>0.063</v>
      </c>
      <c r="K234" s="13" t="n">
        <f aca="false">I234-J234</f>
        <v>12.535</v>
      </c>
      <c r="L234" s="14" t="n">
        <f aca="false">IF(I234=0,"",100*J234/I234)</f>
        <v>0.500079377678997</v>
      </c>
      <c r="M234" s="12" t="n">
        <v>13.585</v>
      </c>
      <c r="N234" s="12" t="n">
        <v>0.062</v>
      </c>
      <c r="O234" s="15" t="n">
        <v>0.9273</v>
      </c>
      <c r="P234" s="15" t="n">
        <v>1.0181</v>
      </c>
      <c r="Q234" s="11"/>
    </row>
    <row r="235" customFormat="false" ht="15" hidden="false" customHeight="false" outlineLevel="0" collapsed="false">
      <c r="A235" s="7" t="str">
        <f aca="false">D235&amp;"-"&amp;TEXT(E235,"00")&amp;"-"&amp;H235&amp;"-"&amp;B235</f>
        <v>NF-17-200–300-wet</v>
      </c>
      <c r="B235" s="8" t="s">
        <v>71</v>
      </c>
      <c r="C235" s="8" t="s">
        <v>72</v>
      </c>
      <c r="D235" s="8" t="s">
        <v>41</v>
      </c>
      <c r="E235" s="8" t="n">
        <v>17</v>
      </c>
      <c r="F235" s="8" t="n">
        <v>200</v>
      </c>
      <c r="G235" s="8" t="n">
        <v>300</v>
      </c>
      <c r="H235" s="7" t="str">
        <f aca="false">F235&amp;"–"&amp;G235</f>
        <v>200–300</v>
      </c>
      <c r="I235" s="12" t="n">
        <v>11.777</v>
      </c>
      <c r="J235" s="12" t="n">
        <v>0.272</v>
      </c>
      <c r="K235" s="13" t="n">
        <f aca="false">I235-J235</f>
        <v>11.505</v>
      </c>
      <c r="L235" s="14" t="n">
        <f aca="false">IF(I235=0,"",100*J235/I235)</f>
        <v>2.30958648212618</v>
      </c>
      <c r="M235" s="12" t="n">
        <v>11.568</v>
      </c>
      <c r="N235" s="12" t="n">
        <v>0.267</v>
      </c>
      <c r="O235" s="15" t="n">
        <v>1.0181</v>
      </c>
      <c r="P235" s="15" t="n">
        <v>1.0181</v>
      </c>
      <c r="Q235" s="11"/>
    </row>
    <row r="236" customFormat="false" ht="15" hidden="false" customHeight="false" outlineLevel="0" collapsed="false">
      <c r="A236" s="7" t="str">
        <f aca="false">D236&amp;"-"&amp;TEXT(E236,"00")&amp;"-"&amp;H236&amp;"-"&amp;B236</f>
        <v>NF-18-0–100-wet</v>
      </c>
      <c r="B236" s="8" t="s">
        <v>71</v>
      </c>
      <c r="C236" s="8" t="s">
        <v>72</v>
      </c>
      <c r="D236" s="8" t="s">
        <v>41</v>
      </c>
      <c r="E236" s="8" t="n">
        <v>18</v>
      </c>
      <c r="F236" s="8" t="n">
        <v>0</v>
      </c>
      <c r="G236" s="8" t="n">
        <v>100</v>
      </c>
      <c r="H236" s="7" t="str">
        <f aca="false">F236&amp;"–"&amp;G236</f>
        <v>0–100</v>
      </c>
      <c r="I236" s="12" t="n">
        <v>14.459</v>
      </c>
      <c r="J236" s="12" t="n">
        <v>0.224</v>
      </c>
      <c r="K236" s="13" t="n">
        <f aca="false">I236-J236</f>
        <v>14.235</v>
      </c>
      <c r="L236" s="14" t="n">
        <f aca="false">IF(I236=0,"",100*J236/I236)</f>
        <v>1.54920810567812</v>
      </c>
      <c r="M236" s="12" t="n">
        <v>15.593</v>
      </c>
      <c r="N236" s="12" t="n">
        <v>0.218</v>
      </c>
      <c r="O236" s="15" t="n">
        <v>0.9273</v>
      </c>
      <c r="P236" s="15" t="n">
        <v>1.0268</v>
      </c>
      <c r="Q236" s="11"/>
    </row>
    <row r="237" customFormat="false" ht="15" hidden="false" customHeight="false" outlineLevel="0" collapsed="false">
      <c r="A237" s="7" t="str">
        <f aca="false">D237&amp;"-"&amp;TEXT(E237,"00")&amp;"-"&amp;H237&amp;"-"&amp;B237</f>
        <v>NF-18-100–200-wet</v>
      </c>
      <c r="B237" s="8" t="s">
        <v>71</v>
      </c>
      <c r="C237" s="8" t="s">
        <v>72</v>
      </c>
      <c r="D237" s="8" t="s">
        <v>41</v>
      </c>
      <c r="E237" s="8" t="n">
        <v>18</v>
      </c>
      <c r="F237" s="8" t="n">
        <v>100</v>
      </c>
      <c r="G237" s="8" t="n">
        <v>200</v>
      </c>
      <c r="H237" s="7" t="str">
        <f aca="false">F237&amp;"–"&amp;G237</f>
        <v>100–200</v>
      </c>
      <c r="I237" s="12" t="n">
        <v>9.508</v>
      </c>
      <c r="J237" s="12" t="n">
        <v>0.095</v>
      </c>
      <c r="K237" s="13" t="n">
        <f aca="false">I237-J237</f>
        <v>9.413</v>
      </c>
      <c r="L237" s="14" t="n">
        <f aca="false">IF(I237=0,"",100*J237/I237)</f>
        <v>0.999158603281447</v>
      </c>
      <c r="M237" s="12" t="n">
        <v>10.253</v>
      </c>
      <c r="N237" s="12" t="n">
        <v>0.093</v>
      </c>
      <c r="O237" s="15" t="n">
        <v>0.9273</v>
      </c>
      <c r="P237" s="15" t="n">
        <v>1.0181</v>
      </c>
      <c r="Q237" s="11"/>
    </row>
    <row r="238" customFormat="false" ht="15" hidden="false" customHeight="false" outlineLevel="0" collapsed="false">
      <c r="A238" s="7" t="str">
        <f aca="false">D238&amp;"-"&amp;TEXT(E238,"00")&amp;"-"&amp;H238&amp;"-"&amp;B238</f>
        <v>NF-18-200–300-wet</v>
      </c>
      <c r="B238" s="8" t="s">
        <v>71</v>
      </c>
      <c r="C238" s="8" t="s">
        <v>72</v>
      </c>
      <c r="D238" s="8" t="s">
        <v>41</v>
      </c>
      <c r="E238" s="8" t="n">
        <v>18</v>
      </c>
      <c r="F238" s="8" t="n">
        <v>200</v>
      </c>
      <c r="G238" s="8" t="n">
        <v>300</v>
      </c>
      <c r="H238" s="7" t="str">
        <f aca="false">F238&amp;"–"&amp;G238</f>
        <v>200–300</v>
      </c>
      <c r="I238" s="12" t="n">
        <v>9.341</v>
      </c>
      <c r="J238" s="12" t="n">
        <v>0.393</v>
      </c>
      <c r="K238" s="13" t="n">
        <f aca="false">I238-J238</f>
        <v>8.948</v>
      </c>
      <c r="L238" s="14" t="n">
        <f aca="false">IF(I238=0,"",100*J238/I238)</f>
        <v>4.20725832351997</v>
      </c>
      <c r="M238" s="12" t="n">
        <v>9.175</v>
      </c>
      <c r="N238" s="12" t="n">
        <v>0.387</v>
      </c>
      <c r="O238" s="15" t="n">
        <v>1.0181</v>
      </c>
      <c r="P238" s="15" t="n">
        <v>1.0181</v>
      </c>
      <c r="Q238" s="11"/>
    </row>
    <row r="239" customFormat="false" ht="15" hidden="false" customHeight="false" outlineLevel="0" collapsed="false">
      <c r="A239" s="7" t="str">
        <f aca="false">D239&amp;"-"&amp;TEXT(E239,"00")&amp;"-"&amp;H239&amp;"-"&amp;B239</f>
        <v>NF-19-0–100-wet</v>
      </c>
      <c r="B239" s="8" t="s">
        <v>71</v>
      </c>
      <c r="C239" s="8" t="s">
        <v>72</v>
      </c>
      <c r="D239" s="8" t="s">
        <v>41</v>
      </c>
      <c r="E239" s="8" t="n">
        <v>19</v>
      </c>
      <c r="F239" s="8" t="n">
        <v>0</v>
      </c>
      <c r="G239" s="8" t="n">
        <v>100</v>
      </c>
      <c r="H239" s="7" t="str">
        <f aca="false">F239&amp;"–"&amp;G239</f>
        <v>0–100</v>
      </c>
      <c r="I239" s="12" t="n">
        <v>13.497</v>
      </c>
      <c r="J239" s="12" t="n">
        <v>0.063</v>
      </c>
      <c r="K239" s="13" t="n">
        <f aca="false">I239-J239</f>
        <v>13.434</v>
      </c>
      <c r="L239" s="14" t="n">
        <f aca="false">IF(I239=0,"",100*J239/I239)</f>
        <v>0.46677039342076</v>
      </c>
      <c r="M239" s="12" t="n">
        <v>14.555</v>
      </c>
      <c r="N239" s="12" t="n">
        <v>0.061</v>
      </c>
      <c r="O239" s="15" t="n">
        <v>0.9273</v>
      </c>
      <c r="P239" s="15" t="n">
        <v>1.0268</v>
      </c>
      <c r="Q239" s="11"/>
    </row>
    <row r="240" customFormat="false" ht="15" hidden="false" customHeight="false" outlineLevel="0" collapsed="false">
      <c r="A240" s="7" t="str">
        <f aca="false">D240&amp;"-"&amp;TEXT(E240,"00")&amp;"-"&amp;H240&amp;"-"&amp;B240</f>
        <v>NF-19-100–200-wet</v>
      </c>
      <c r="B240" s="8" t="s">
        <v>71</v>
      </c>
      <c r="C240" s="8" t="s">
        <v>72</v>
      </c>
      <c r="D240" s="8" t="s">
        <v>41</v>
      </c>
      <c r="E240" s="8" t="n">
        <v>19</v>
      </c>
      <c r="F240" s="8" t="n">
        <v>100</v>
      </c>
      <c r="G240" s="8" t="n">
        <v>200</v>
      </c>
      <c r="H240" s="7" t="str">
        <f aca="false">F240&amp;"–"&amp;G240</f>
        <v>100–200</v>
      </c>
      <c r="I240" s="12" t="n">
        <v>8.078</v>
      </c>
      <c r="J240" s="12" t="n">
        <v>0.126</v>
      </c>
      <c r="K240" s="13" t="n">
        <f aca="false">I240-J240</f>
        <v>7.952</v>
      </c>
      <c r="L240" s="14" t="n">
        <f aca="false">IF(I240=0,"",100*J240/I240)</f>
        <v>1.55979202772964</v>
      </c>
      <c r="M240" s="12" t="n">
        <v>8.712</v>
      </c>
      <c r="N240" s="12" t="n">
        <v>0.124</v>
      </c>
      <c r="O240" s="15" t="n">
        <v>0.9273</v>
      </c>
      <c r="P240" s="15" t="n">
        <v>1.0181</v>
      </c>
      <c r="Q240" s="11"/>
    </row>
    <row r="241" customFormat="false" ht="15" hidden="false" customHeight="false" outlineLevel="0" collapsed="false">
      <c r="A241" s="7" t="str">
        <f aca="false">D241&amp;"-"&amp;TEXT(E241,"00")&amp;"-"&amp;H241&amp;"-"&amp;B241</f>
        <v>NF-19-200–300-wet</v>
      </c>
      <c r="B241" s="8" t="s">
        <v>71</v>
      </c>
      <c r="C241" s="8" t="s">
        <v>72</v>
      </c>
      <c r="D241" s="8" t="s">
        <v>41</v>
      </c>
      <c r="E241" s="8" t="n">
        <v>19</v>
      </c>
      <c r="F241" s="8" t="n">
        <v>200</v>
      </c>
      <c r="G241" s="8" t="n">
        <v>300</v>
      </c>
      <c r="H241" s="7" t="str">
        <f aca="false">F241&amp;"–"&amp;G241</f>
        <v>200–300</v>
      </c>
      <c r="I241" s="12" t="n">
        <v>9.002</v>
      </c>
      <c r="J241" s="12" t="n">
        <v>0.275</v>
      </c>
      <c r="K241" s="13" t="n">
        <f aca="false">I241-J241</f>
        <v>8.727</v>
      </c>
      <c r="L241" s="14" t="n">
        <f aca="false">IF(I241=0,"",100*J241/I241)</f>
        <v>3.05487669406799</v>
      </c>
      <c r="M241" s="12" t="n">
        <v>8.842</v>
      </c>
      <c r="N241" s="12" t="n">
        <v>0.27</v>
      </c>
      <c r="O241" s="15" t="n">
        <v>1.0181</v>
      </c>
      <c r="P241" s="15" t="n">
        <v>1.0181</v>
      </c>
      <c r="Q241" s="11"/>
    </row>
    <row r="242" customFormat="false" ht="15" hidden="false" customHeight="false" outlineLevel="0" collapsed="false">
      <c r="A242" s="7" t="str">
        <f aca="false">D242&amp;"-"&amp;TEXT(E242,"00")&amp;"-"&amp;H242&amp;"-"&amp;B242</f>
        <v>NF-20-0–100-wet</v>
      </c>
      <c r="B242" s="8" t="s">
        <v>71</v>
      </c>
      <c r="C242" s="8" t="s">
        <v>72</v>
      </c>
      <c r="D242" s="8" t="s">
        <v>41</v>
      </c>
      <c r="E242" s="8" t="n">
        <v>20</v>
      </c>
      <c r="F242" s="8" t="n">
        <v>0</v>
      </c>
      <c r="G242" s="8" t="n">
        <v>100</v>
      </c>
      <c r="H242" s="7" t="str">
        <f aca="false">F242&amp;"–"&amp;G242</f>
        <v>0–100</v>
      </c>
      <c r="I242" s="12" t="n">
        <v>13.815</v>
      </c>
      <c r="J242" s="12" t="n">
        <v>0.129</v>
      </c>
      <c r="K242" s="13" t="n">
        <f aca="false">I242-J242</f>
        <v>13.686</v>
      </c>
      <c r="L242" s="14" t="n">
        <f aca="false">IF(I242=0,"",100*J242/I242)</f>
        <v>0.933767643865364</v>
      </c>
      <c r="M242" s="12" t="n">
        <v>14.898</v>
      </c>
      <c r="N242" s="12" t="n">
        <v>0.126</v>
      </c>
      <c r="O242" s="15" t="n">
        <v>0.9273</v>
      </c>
      <c r="P242" s="15" t="n">
        <v>1.0268</v>
      </c>
      <c r="Q242" s="11"/>
    </row>
    <row r="243" customFormat="false" ht="15" hidden="false" customHeight="false" outlineLevel="0" collapsed="false">
      <c r="A243" s="7" t="str">
        <f aca="false">D243&amp;"-"&amp;TEXT(E243,"00")&amp;"-"&amp;H243&amp;"-"&amp;B243</f>
        <v>NF-20-100–200-wet</v>
      </c>
      <c r="B243" s="8" t="s">
        <v>71</v>
      </c>
      <c r="C243" s="8" t="s">
        <v>72</v>
      </c>
      <c r="D243" s="8" t="s">
        <v>41</v>
      </c>
      <c r="E243" s="8" t="n">
        <v>20</v>
      </c>
      <c r="F243" s="8" t="n">
        <v>100</v>
      </c>
      <c r="G243" s="8" t="n">
        <v>200</v>
      </c>
      <c r="H243" s="7" t="str">
        <f aca="false">F243&amp;"–"&amp;G243</f>
        <v>100–200</v>
      </c>
      <c r="I243" s="12" t="n">
        <v>11.152</v>
      </c>
      <c r="J243" s="12" t="n">
        <v>0.158</v>
      </c>
      <c r="K243" s="13" t="n">
        <f aca="false">I243-J243</f>
        <v>10.994</v>
      </c>
      <c r="L243" s="14" t="n">
        <f aca="false">IF(I243=0,"",100*J243/I243)</f>
        <v>1.4167862266858</v>
      </c>
      <c r="M243" s="12" t="n">
        <v>12.026</v>
      </c>
      <c r="N243" s="12" t="n">
        <v>0.155</v>
      </c>
      <c r="O243" s="15" t="n">
        <v>0.9273</v>
      </c>
      <c r="P243" s="15" t="n">
        <v>1.0181</v>
      </c>
      <c r="Q243" s="11"/>
    </row>
    <row r="244" customFormat="false" ht="15" hidden="false" customHeight="false" outlineLevel="0" collapsed="false">
      <c r="A244" s="7" t="str">
        <f aca="false">D244&amp;"-"&amp;TEXT(E244,"00")&amp;"-"&amp;H244&amp;"-"&amp;B244</f>
        <v>NF-20-200–300-wet</v>
      </c>
      <c r="B244" s="8" t="s">
        <v>71</v>
      </c>
      <c r="C244" s="8" t="s">
        <v>72</v>
      </c>
      <c r="D244" s="8" t="s">
        <v>41</v>
      </c>
      <c r="E244" s="8" t="n">
        <v>20</v>
      </c>
      <c r="F244" s="8" t="n">
        <v>200</v>
      </c>
      <c r="G244" s="8" t="n">
        <v>300</v>
      </c>
      <c r="H244" s="7" t="str">
        <f aca="false">F244&amp;"–"&amp;G244</f>
        <v>200–300</v>
      </c>
      <c r="I244" s="12" t="n">
        <v>5.869</v>
      </c>
      <c r="J244" s="12" t="n">
        <v>0.331</v>
      </c>
      <c r="K244" s="13" t="n">
        <f aca="false">I244-J244</f>
        <v>5.538</v>
      </c>
      <c r="L244" s="14" t="n">
        <f aca="false">IF(I244=0,"",100*J244/I244)</f>
        <v>5.63980235133754</v>
      </c>
      <c r="M244" s="12" t="n">
        <v>5.765</v>
      </c>
      <c r="N244" s="12" t="n">
        <v>0.325</v>
      </c>
      <c r="O244" s="15" t="n">
        <v>1.0181</v>
      </c>
      <c r="P244" s="15" t="n">
        <v>1.0181</v>
      </c>
      <c r="Q244" s="11"/>
    </row>
    <row r="245" customFormat="false" ht="15" hidden="false" customHeight="false" outlineLevel="0" collapsed="false">
      <c r="A245" s="7" t="str">
        <f aca="false">D245&amp;"-"&amp;TEXT(E245,"00")&amp;"-"&amp;H245&amp;"-"&amp;B245</f>
        <v>ICL-01-0–100-wet</v>
      </c>
      <c r="B245" s="8" t="s">
        <v>71</v>
      </c>
      <c r="C245" s="8" t="s">
        <v>72</v>
      </c>
      <c r="D245" s="8" t="s">
        <v>44</v>
      </c>
      <c r="E245" s="8" t="n">
        <v>1</v>
      </c>
      <c r="F245" s="8" t="n">
        <v>0</v>
      </c>
      <c r="G245" s="8" t="n">
        <v>100</v>
      </c>
      <c r="H245" s="7" t="str">
        <f aca="false">F245&amp;"–"&amp;G245</f>
        <v>0–100</v>
      </c>
      <c r="I245" s="12" t="n">
        <v>12.146</v>
      </c>
      <c r="J245" s="12" t="n">
        <v>0.167</v>
      </c>
      <c r="K245" s="13" t="n">
        <f aca="false">I245-J245</f>
        <v>11.979</v>
      </c>
      <c r="L245" s="14" t="n">
        <f aca="false">IF(I245=0,"",100*J245/I245)</f>
        <v>1.37493825127614</v>
      </c>
      <c r="M245" s="12" t="n">
        <v>14.215</v>
      </c>
      <c r="N245" s="12" t="n">
        <v>0.207</v>
      </c>
      <c r="O245" s="15" t="n">
        <v>0.8545</v>
      </c>
      <c r="P245" s="15" t="n">
        <v>0.9346</v>
      </c>
      <c r="Q245" s="11" t="s">
        <v>73</v>
      </c>
    </row>
    <row r="246" customFormat="false" ht="15" hidden="false" customHeight="false" outlineLevel="0" collapsed="false">
      <c r="A246" s="7" t="str">
        <f aca="false">D246&amp;"-"&amp;TEXT(E246,"00")&amp;"-"&amp;H246&amp;"-"&amp;B246</f>
        <v>ICL-01-100–200-wet</v>
      </c>
      <c r="B246" s="8" t="s">
        <v>71</v>
      </c>
      <c r="C246" s="8" t="s">
        <v>72</v>
      </c>
      <c r="D246" s="8" t="s">
        <v>44</v>
      </c>
      <c r="E246" s="8" t="n">
        <v>1</v>
      </c>
      <c r="F246" s="8" t="n">
        <v>100</v>
      </c>
      <c r="G246" s="8" t="n">
        <v>200</v>
      </c>
      <c r="H246" s="7" t="str">
        <f aca="false">F246&amp;"–"&amp;G246</f>
        <v>100–200</v>
      </c>
      <c r="I246" s="12" t="n">
        <v>9.076</v>
      </c>
      <c r="J246" s="12" t="n">
        <v>0.084</v>
      </c>
      <c r="K246" s="13" t="n">
        <f aca="false">I246-J246</f>
        <v>8.992</v>
      </c>
      <c r="L246" s="14" t="n">
        <f aca="false">IF(I246=0,"",100*J246/I246)</f>
        <v>0.925517849272807</v>
      </c>
      <c r="M246" s="12" t="n">
        <v>10.621</v>
      </c>
      <c r="N246" s="12" t="n">
        <v>0.119</v>
      </c>
      <c r="O246" s="15" t="n">
        <v>0.8545</v>
      </c>
      <c r="P246" s="15" t="n">
        <v>0.9346</v>
      </c>
      <c r="Q246" s="11" t="s">
        <v>73</v>
      </c>
    </row>
    <row r="247" customFormat="false" ht="15" hidden="false" customHeight="false" outlineLevel="0" collapsed="false">
      <c r="A247" s="7" t="str">
        <f aca="false">D247&amp;"-"&amp;TEXT(E247,"00")&amp;"-"&amp;H247&amp;"-"&amp;B247</f>
        <v>ICL-01-200–300-wet</v>
      </c>
      <c r="B247" s="8" t="s">
        <v>71</v>
      </c>
      <c r="C247" s="8" t="s">
        <v>72</v>
      </c>
      <c r="D247" s="8" t="s">
        <v>44</v>
      </c>
      <c r="E247" s="8" t="n">
        <v>1</v>
      </c>
      <c r="F247" s="8" t="n">
        <v>200</v>
      </c>
      <c r="G247" s="8" t="n">
        <v>300</v>
      </c>
      <c r="H247" s="7" t="str">
        <f aca="false">F247&amp;"–"&amp;G247</f>
        <v>200–300</v>
      </c>
      <c r="I247" s="12" t="n">
        <v>11.232</v>
      </c>
      <c r="J247" s="12" t="n">
        <v>0.288</v>
      </c>
      <c r="K247" s="13" t="n">
        <f aca="false">I247-J247</f>
        <v>10.944</v>
      </c>
      <c r="L247" s="14" t="n">
        <f aca="false">IF(I247=0,"",100*J247/I247)</f>
        <v>2.56410256410256</v>
      </c>
      <c r="M247" s="12" t="n">
        <v>12.23</v>
      </c>
      <c r="N247" s="12" t="n">
        <v>0.28</v>
      </c>
      <c r="O247" s="15" t="n">
        <v>0.9184</v>
      </c>
      <c r="P247" s="15" t="n">
        <v>1.0268</v>
      </c>
      <c r="Q247" s="11"/>
    </row>
    <row r="248" customFormat="false" ht="15" hidden="false" customHeight="false" outlineLevel="0" collapsed="false">
      <c r="A248" s="7" t="str">
        <f aca="false">D248&amp;"-"&amp;TEXT(E248,"00")&amp;"-"&amp;H248&amp;"-"&amp;B248</f>
        <v>ICL-02-0–100-wet</v>
      </c>
      <c r="B248" s="8" t="s">
        <v>71</v>
      </c>
      <c r="C248" s="8" t="s">
        <v>72</v>
      </c>
      <c r="D248" s="8" t="s">
        <v>44</v>
      </c>
      <c r="E248" s="8" t="n">
        <v>2</v>
      </c>
      <c r="F248" s="8" t="n">
        <v>0</v>
      </c>
      <c r="G248" s="8" t="n">
        <v>100</v>
      </c>
      <c r="H248" s="7" t="str">
        <f aca="false">F248&amp;"–"&amp;G248</f>
        <v>0–100</v>
      </c>
      <c r="I248" s="12" t="n">
        <v>8.707</v>
      </c>
      <c r="J248" s="12" t="n">
        <v>0.418</v>
      </c>
      <c r="K248" s="13" t="n">
        <f aca="false">I248-J248</f>
        <v>8.289</v>
      </c>
      <c r="L248" s="14" t="n">
        <f aca="false">IF(I248=0,"",100*J248/I248)</f>
        <v>4.80073504077179</v>
      </c>
      <c r="M248" s="12" t="n">
        <v>10.19</v>
      </c>
      <c r="N248" s="12" t="n">
        <v>0.475</v>
      </c>
      <c r="O248" s="15" t="n">
        <v>0.8545</v>
      </c>
      <c r="P248" s="15" t="n">
        <v>0.9346</v>
      </c>
      <c r="Q248" s="11" t="s">
        <v>73</v>
      </c>
    </row>
    <row r="249" customFormat="false" ht="15" hidden="false" customHeight="false" outlineLevel="0" collapsed="false">
      <c r="A249" s="7" t="str">
        <f aca="false">D249&amp;"-"&amp;TEXT(E249,"00")&amp;"-"&amp;H249&amp;"-"&amp;B249</f>
        <v>ICL-02-100–200-wet</v>
      </c>
      <c r="B249" s="8" t="s">
        <v>71</v>
      </c>
      <c r="C249" s="8" t="s">
        <v>72</v>
      </c>
      <c r="D249" s="8" t="s">
        <v>44</v>
      </c>
      <c r="E249" s="8" t="n">
        <v>2</v>
      </c>
      <c r="F249" s="8" t="n">
        <v>100</v>
      </c>
      <c r="G249" s="8" t="n">
        <v>200</v>
      </c>
      <c r="H249" s="7" t="str">
        <f aca="false">F249&amp;"–"&amp;G249</f>
        <v>100–200</v>
      </c>
      <c r="I249" s="12" t="n">
        <v>7.658</v>
      </c>
      <c r="J249" s="12" t="n">
        <v>0.447</v>
      </c>
      <c r="K249" s="13" t="n">
        <f aca="false">I249-J249</f>
        <v>7.211</v>
      </c>
      <c r="L249" s="14" t="n">
        <f aca="false">IF(I249=0,"",100*J249/I249)</f>
        <v>5.83703316792896</v>
      </c>
      <c r="M249" s="12" t="n">
        <v>8.962</v>
      </c>
      <c r="N249" s="12" t="n">
        <v>0.508</v>
      </c>
      <c r="O249" s="15" t="n">
        <v>0.8545</v>
      </c>
      <c r="P249" s="15" t="n">
        <v>0.9346</v>
      </c>
      <c r="Q249" s="11" t="s">
        <v>73</v>
      </c>
    </row>
    <row r="250" customFormat="false" ht="15" hidden="false" customHeight="false" outlineLevel="0" collapsed="false">
      <c r="A250" s="7" t="str">
        <f aca="false">D250&amp;"-"&amp;TEXT(E250,"00")&amp;"-"&amp;H250&amp;"-"&amp;B250</f>
        <v>ICL-02-200–300-wet</v>
      </c>
      <c r="B250" s="8" t="s">
        <v>71</v>
      </c>
      <c r="C250" s="8" t="s">
        <v>72</v>
      </c>
      <c r="D250" s="8" t="s">
        <v>44</v>
      </c>
      <c r="E250" s="8" t="n">
        <v>2</v>
      </c>
      <c r="F250" s="8" t="n">
        <v>200</v>
      </c>
      <c r="G250" s="8" t="n">
        <v>300</v>
      </c>
      <c r="H250" s="7" t="str">
        <f aca="false">F250&amp;"–"&amp;G250</f>
        <v>200–300</v>
      </c>
      <c r="I250" s="12" t="n">
        <v>11.439</v>
      </c>
      <c r="J250" s="12" t="n">
        <v>0.291</v>
      </c>
      <c r="K250" s="13" t="n">
        <f aca="false">I250-J250</f>
        <v>11.148</v>
      </c>
      <c r="L250" s="14" t="n">
        <f aca="false">IF(I250=0,"",100*J250/I250)</f>
        <v>2.5439286650931</v>
      </c>
      <c r="M250" s="12" t="n">
        <v>12.455</v>
      </c>
      <c r="N250" s="12" t="n">
        <v>0.284</v>
      </c>
      <c r="O250" s="15" t="n">
        <v>0.9184</v>
      </c>
      <c r="P250" s="15" t="n">
        <v>1.0268</v>
      </c>
      <c r="Q250" s="11"/>
    </row>
    <row r="251" customFormat="false" ht="15" hidden="false" customHeight="false" outlineLevel="0" collapsed="false">
      <c r="A251" s="7" t="str">
        <f aca="false">D251&amp;"-"&amp;TEXT(E251,"00")&amp;"-"&amp;H251&amp;"-"&amp;B251</f>
        <v>ICL-03-0–100-wet</v>
      </c>
      <c r="B251" s="8" t="s">
        <v>71</v>
      </c>
      <c r="C251" s="8" t="s">
        <v>72</v>
      </c>
      <c r="D251" s="8" t="s">
        <v>44</v>
      </c>
      <c r="E251" s="8" t="n">
        <v>3</v>
      </c>
      <c r="F251" s="8" t="n">
        <v>0</v>
      </c>
      <c r="G251" s="8" t="n">
        <v>100</v>
      </c>
      <c r="H251" s="7" t="str">
        <f aca="false">F251&amp;"–"&amp;G251</f>
        <v>0–100</v>
      </c>
      <c r="I251" s="12" t="n">
        <v>12.299</v>
      </c>
      <c r="J251" s="12" t="n">
        <v>0.528</v>
      </c>
      <c r="K251" s="13" t="n">
        <f aca="false">I251-J251</f>
        <v>11.771</v>
      </c>
      <c r="L251" s="14" t="n">
        <f aca="false">IF(I251=0,"",100*J251/I251)</f>
        <v>4.29303195381738</v>
      </c>
      <c r="M251" s="12" t="n">
        <v>14.394</v>
      </c>
      <c r="N251" s="12" t="n">
        <v>0.593</v>
      </c>
      <c r="O251" s="15" t="n">
        <v>0.8545</v>
      </c>
      <c r="P251" s="15" t="n">
        <v>0.9346</v>
      </c>
      <c r="Q251" s="11" t="s">
        <v>73</v>
      </c>
    </row>
    <row r="252" customFormat="false" ht="15" hidden="false" customHeight="false" outlineLevel="0" collapsed="false">
      <c r="A252" s="7" t="str">
        <f aca="false">D252&amp;"-"&amp;TEXT(E252,"00")&amp;"-"&amp;H252&amp;"-"&amp;B252</f>
        <v>ICL-03-100–200-wet</v>
      </c>
      <c r="B252" s="8" t="s">
        <v>71</v>
      </c>
      <c r="C252" s="8" t="s">
        <v>72</v>
      </c>
      <c r="D252" s="8" t="s">
        <v>44</v>
      </c>
      <c r="E252" s="8" t="n">
        <v>3</v>
      </c>
      <c r="F252" s="8" t="n">
        <v>100</v>
      </c>
      <c r="G252" s="8" t="n">
        <v>200</v>
      </c>
      <c r="H252" s="7" t="str">
        <f aca="false">F252&amp;"–"&amp;G252</f>
        <v>100–200</v>
      </c>
      <c r="I252" s="12" t="n">
        <v>10.962</v>
      </c>
      <c r="J252" s="12" t="n">
        <v>0.419</v>
      </c>
      <c r="K252" s="13" t="n">
        <f aca="false">I252-J252</f>
        <v>10.543</v>
      </c>
      <c r="L252" s="14" t="n">
        <f aca="false">IF(I252=0,"",100*J252/I252)</f>
        <v>3.82229520160555</v>
      </c>
      <c r="M252" s="12" t="n">
        <v>12.829</v>
      </c>
      <c r="N252" s="12" t="n">
        <v>0.478</v>
      </c>
      <c r="O252" s="15" t="n">
        <v>0.8545</v>
      </c>
      <c r="P252" s="15" t="n">
        <v>0.9346</v>
      </c>
      <c r="Q252" s="11" t="s">
        <v>73</v>
      </c>
    </row>
    <row r="253" customFormat="false" ht="15" hidden="false" customHeight="false" outlineLevel="0" collapsed="false">
      <c r="A253" s="7" t="str">
        <f aca="false">D253&amp;"-"&amp;TEXT(E253,"00")&amp;"-"&amp;H253&amp;"-"&amp;B253</f>
        <v>ICL-03-200–300-wet</v>
      </c>
      <c r="B253" s="8" t="s">
        <v>71</v>
      </c>
      <c r="C253" s="8" t="s">
        <v>72</v>
      </c>
      <c r="D253" s="8" t="s">
        <v>44</v>
      </c>
      <c r="E253" s="8" t="n">
        <v>3</v>
      </c>
      <c r="F253" s="8" t="n">
        <v>200</v>
      </c>
      <c r="G253" s="8" t="n">
        <v>300</v>
      </c>
      <c r="H253" s="7" t="str">
        <f aca="false">F253&amp;"–"&amp;G253</f>
        <v>200–300</v>
      </c>
      <c r="I253" s="12" t="n">
        <v>10.626</v>
      </c>
      <c r="J253" s="12" t="n">
        <v>0.285</v>
      </c>
      <c r="K253" s="13" t="n">
        <f aca="false">I253-J253</f>
        <v>10.341</v>
      </c>
      <c r="L253" s="14" t="n">
        <f aca="false">IF(I253=0,"",100*J253/I253)</f>
        <v>2.68210050818746</v>
      </c>
      <c r="M253" s="12" t="n">
        <v>11.57</v>
      </c>
      <c r="N253" s="12" t="n">
        <v>0.278</v>
      </c>
      <c r="O253" s="15" t="n">
        <v>0.9184</v>
      </c>
      <c r="P253" s="15" t="n">
        <v>1.0268</v>
      </c>
      <c r="Q253" s="11"/>
    </row>
    <row r="254" customFormat="false" ht="15" hidden="false" customHeight="false" outlineLevel="0" collapsed="false">
      <c r="A254" s="7" t="str">
        <f aca="false">D254&amp;"-"&amp;TEXT(E254,"00")&amp;"-"&amp;H254&amp;"-"&amp;B254</f>
        <v>ICL-04-0–100-wet</v>
      </c>
      <c r="B254" s="8" t="s">
        <v>71</v>
      </c>
      <c r="C254" s="8" t="s">
        <v>72</v>
      </c>
      <c r="D254" s="8" t="s">
        <v>44</v>
      </c>
      <c r="E254" s="8" t="n">
        <v>4</v>
      </c>
      <c r="F254" s="8" t="n">
        <v>0</v>
      </c>
      <c r="G254" s="8" t="n">
        <v>100</v>
      </c>
      <c r="H254" s="7" t="str">
        <f aca="false">F254&amp;"–"&amp;G254</f>
        <v>0–100</v>
      </c>
      <c r="I254" s="12" t="n">
        <v>9.162</v>
      </c>
      <c r="J254" s="12" t="n">
        <v>0.613</v>
      </c>
      <c r="K254" s="13" t="n">
        <f aca="false">I254-J254</f>
        <v>8.549</v>
      </c>
      <c r="L254" s="14" t="n">
        <f aca="false">IF(I254=0,"",100*J254/I254)</f>
        <v>6.69067889107182</v>
      </c>
      <c r="M254" s="12" t="n">
        <v>10.723</v>
      </c>
      <c r="N254" s="12" t="n">
        <v>0.683</v>
      </c>
      <c r="O254" s="15" t="n">
        <v>0.8545</v>
      </c>
      <c r="P254" s="15" t="n">
        <v>0.9346</v>
      </c>
      <c r="Q254" s="11" t="s">
        <v>73</v>
      </c>
    </row>
    <row r="255" customFormat="false" ht="15" hidden="false" customHeight="false" outlineLevel="0" collapsed="false">
      <c r="A255" s="7" t="str">
        <f aca="false">D255&amp;"-"&amp;TEXT(E255,"00")&amp;"-"&amp;H255&amp;"-"&amp;B255</f>
        <v>ICL-04-100–200-wet</v>
      </c>
      <c r="B255" s="8" t="s">
        <v>71</v>
      </c>
      <c r="C255" s="8" t="s">
        <v>72</v>
      </c>
      <c r="D255" s="8" t="s">
        <v>44</v>
      </c>
      <c r="E255" s="8" t="n">
        <v>4</v>
      </c>
      <c r="F255" s="8" t="n">
        <v>100</v>
      </c>
      <c r="G255" s="8" t="n">
        <v>200</v>
      </c>
      <c r="H255" s="7" t="str">
        <f aca="false">F255&amp;"–"&amp;G255</f>
        <v>100–200</v>
      </c>
      <c r="I255" s="12" t="n">
        <v>10.213</v>
      </c>
      <c r="J255" s="12" t="n">
        <v>0.361</v>
      </c>
      <c r="K255" s="13" t="n">
        <f aca="false">I255-J255</f>
        <v>9.852</v>
      </c>
      <c r="L255" s="14" t="n">
        <f aca="false">IF(I255=0,"",100*J255/I255)</f>
        <v>3.53471066288064</v>
      </c>
      <c r="M255" s="12" t="n">
        <v>11.952</v>
      </c>
      <c r="N255" s="12" t="n">
        <v>0.416</v>
      </c>
      <c r="O255" s="15" t="n">
        <v>0.8545</v>
      </c>
      <c r="P255" s="15" t="n">
        <v>0.9346</v>
      </c>
      <c r="Q255" s="11" t="s">
        <v>73</v>
      </c>
    </row>
    <row r="256" customFormat="false" ht="15" hidden="false" customHeight="false" outlineLevel="0" collapsed="false">
      <c r="A256" s="7" t="str">
        <f aca="false">D256&amp;"-"&amp;TEXT(E256,"00")&amp;"-"&amp;H256&amp;"-"&amp;B256</f>
        <v>ICL-04-200–300-wet</v>
      </c>
      <c r="B256" s="8" t="s">
        <v>71</v>
      </c>
      <c r="C256" s="8" t="s">
        <v>72</v>
      </c>
      <c r="D256" s="8" t="s">
        <v>44</v>
      </c>
      <c r="E256" s="8" t="n">
        <v>4</v>
      </c>
      <c r="F256" s="8" t="n">
        <v>200</v>
      </c>
      <c r="G256" s="8" t="n">
        <v>300</v>
      </c>
      <c r="H256" s="7" t="str">
        <f aca="false">F256&amp;"–"&amp;G256</f>
        <v>200–300</v>
      </c>
      <c r="I256" s="12" t="n">
        <v>12.13</v>
      </c>
      <c r="J256" s="12" t="n">
        <v>0.451</v>
      </c>
      <c r="K256" s="13" t="n">
        <f aca="false">I256-J256</f>
        <v>11.679</v>
      </c>
      <c r="L256" s="14" t="n">
        <f aca="false">IF(I256=0,"",100*J256/I256)</f>
        <v>3.71805441055235</v>
      </c>
      <c r="M256" s="12" t="n">
        <v>13.207</v>
      </c>
      <c r="N256" s="12" t="n">
        <v>0.439</v>
      </c>
      <c r="O256" s="15" t="n">
        <v>0.9184</v>
      </c>
      <c r="P256" s="15" t="n">
        <v>1.0268</v>
      </c>
      <c r="Q256" s="11"/>
    </row>
    <row r="257" customFormat="false" ht="15" hidden="false" customHeight="false" outlineLevel="0" collapsed="false">
      <c r="A257" s="7" t="str">
        <f aca="false">D257&amp;"-"&amp;TEXT(E257,"00")&amp;"-"&amp;H257&amp;"-"&amp;B257</f>
        <v>ICL-05-0–100-wet</v>
      </c>
      <c r="B257" s="8" t="s">
        <v>71</v>
      </c>
      <c r="C257" s="8" t="s">
        <v>72</v>
      </c>
      <c r="D257" s="8" t="s">
        <v>44</v>
      </c>
      <c r="E257" s="8" t="n">
        <v>5</v>
      </c>
      <c r="F257" s="8" t="n">
        <v>0</v>
      </c>
      <c r="G257" s="8" t="n">
        <v>100</v>
      </c>
      <c r="H257" s="7" t="str">
        <f aca="false">F257&amp;"–"&amp;G257</f>
        <v>0–100</v>
      </c>
      <c r="I257" s="12" t="n">
        <v>8.703</v>
      </c>
      <c r="J257" s="12" t="n">
        <v>0.387</v>
      </c>
      <c r="K257" s="13" t="n">
        <f aca="false">I257-J257</f>
        <v>8.316</v>
      </c>
      <c r="L257" s="14" t="n">
        <f aca="false">IF(I257=0,"",100*J257/I257)</f>
        <v>4.44674250258532</v>
      </c>
      <c r="M257" s="12" t="n">
        <v>10.185</v>
      </c>
      <c r="N257" s="12" t="n">
        <v>0.441</v>
      </c>
      <c r="O257" s="15" t="n">
        <v>0.8545</v>
      </c>
      <c r="P257" s="15" t="n">
        <v>0.9346</v>
      </c>
      <c r="Q257" s="11" t="s">
        <v>73</v>
      </c>
    </row>
    <row r="258" customFormat="false" ht="15" hidden="false" customHeight="false" outlineLevel="0" collapsed="false">
      <c r="A258" s="7" t="str">
        <f aca="false">D258&amp;"-"&amp;TEXT(E258,"00")&amp;"-"&amp;H258&amp;"-"&amp;B258</f>
        <v>ICL-05-100–200-wet</v>
      </c>
      <c r="B258" s="8" t="s">
        <v>71</v>
      </c>
      <c r="C258" s="8" t="s">
        <v>72</v>
      </c>
      <c r="D258" s="8" t="s">
        <v>44</v>
      </c>
      <c r="E258" s="8" t="n">
        <v>5</v>
      </c>
      <c r="F258" s="8" t="n">
        <v>100</v>
      </c>
      <c r="G258" s="8" t="n">
        <v>200</v>
      </c>
      <c r="H258" s="7" t="str">
        <f aca="false">F258&amp;"–"&amp;G258</f>
        <v>100–200</v>
      </c>
      <c r="I258" s="12" t="n">
        <v>11.856</v>
      </c>
      <c r="J258" s="12" t="n">
        <v>0</v>
      </c>
      <c r="K258" s="13" t="n">
        <f aca="false">I258-J258</f>
        <v>11.856</v>
      </c>
      <c r="L258" s="14" t="n">
        <f aca="false">IF(I258=0,"",100*J258/I258)</f>
        <v>0</v>
      </c>
      <c r="M258" s="12" t="n">
        <v>13.875</v>
      </c>
      <c r="N258" s="12" t="n">
        <v>0.03</v>
      </c>
      <c r="O258" s="15" t="n">
        <v>0.8545</v>
      </c>
      <c r="P258" s="15" t="n">
        <v>0.9346</v>
      </c>
      <c r="Q258" s="11" t="s">
        <v>73</v>
      </c>
    </row>
    <row r="259" customFormat="false" ht="15" hidden="false" customHeight="false" outlineLevel="0" collapsed="false">
      <c r="A259" s="7" t="str">
        <f aca="false">D259&amp;"-"&amp;TEXT(E259,"00")&amp;"-"&amp;H259&amp;"-"&amp;B259</f>
        <v>ICL-05-200–300-wet</v>
      </c>
      <c r="B259" s="8" t="s">
        <v>71</v>
      </c>
      <c r="C259" s="8" t="s">
        <v>72</v>
      </c>
      <c r="D259" s="8" t="s">
        <v>44</v>
      </c>
      <c r="E259" s="8" t="n">
        <v>5</v>
      </c>
      <c r="F259" s="8" t="n">
        <v>200</v>
      </c>
      <c r="G259" s="8" t="n">
        <v>300</v>
      </c>
      <c r="H259" s="7" t="str">
        <f aca="false">F259&amp;"–"&amp;G259</f>
        <v>200–300</v>
      </c>
      <c r="I259" s="12" t="n">
        <v>10.108</v>
      </c>
      <c r="J259" s="12" t="n">
        <v>0.507</v>
      </c>
      <c r="K259" s="13" t="n">
        <f aca="false">I259-J259</f>
        <v>9.601</v>
      </c>
      <c r="L259" s="14" t="n">
        <f aca="false">IF(I259=0,"",100*J259/I259)</f>
        <v>5.01582904629996</v>
      </c>
      <c r="M259" s="12" t="n">
        <v>11.005</v>
      </c>
      <c r="N259" s="12" t="n">
        <v>0.494</v>
      </c>
      <c r="O259" s="15" t="n">
        <v>0.9184</v>
      </c>
      <c r="P259" s="15" t="n">
        <v>1.0268</v>
      </c>
      <c r="Q259" s="11"/>
    </row>
    <row r="260" customFormat="false" ht="15" hidden="false" customHeight="false" outlineLevel="0" collapsed="false">
      <c r="A260" s="7" t="str">
        <f aca="false">D260&amp;"-"&amp;TEXT(E260,"00")&amp;"-"&amp;H260&amp;"-"&amp;B260</f>
        <v>ICL-06-0–100-wet</v>
      </c>
      <c r="B260" s="8" t="s">
        <v>71</v>
      </c>
      <c r="C260" s="8" t="s">
        <v>72</v>
      </c>
      <c r="D260" s="8" t="s">
        <v>44</v>
      </c>
      <c r="E260" s="8" t="n">
        <v>6</v>
      </c>
      <c r="F260" s="8" t="n">
        <v>0</v>
      </c>
      <c r="G260" s="8" t="n">
        <v>100</v>
      </c>
      <c r="H260" s="7" t="str">
        <f aca="false">F260&amp;"–"&amp;G260</f>
        <v>0–100</v>
      </c>
      <c r="I260" s="12" t="n">
        <v>14.706</v>
      </c>
      <c r="J260" s="12" t="n">
        <v>0.42</v>
      </c>
      <c r="K260" s="13" t="n">
        <f aca="false">I260-J260</f>
        <v>14.286</v>
      </c>
      <c r="L260" s="14" t="n">
        <f aca="false">IF(I260=0,"",100*J260/I260)</f>
        <v>2.85597715218278</v>
      </c>
      <c r="M260" s="12" t="n">
        <v>17.21</v>
      </c>
      <c r="N260" s="12" t="n">
        <v>0.477</v>
      </c>
      <c r="O260" s="15" t="n">
        <v>0.8545</v>
      </c>
      <c r="P260" s="15" t="n">
        <v>0.9346</v>
      </c>
      <c r="Q260" s="11" t="s">
        <v>73</v>
      </c>
    </row>
    <row r="261" customFormat="false" ht="15" hidden="false" customHeight="false" outlineLevel="0" collapsed="false">
      <c r="A261" s="7" t="str">
        <f aca="false">D261&amp;"-"&amp;TEXT(E261,"00")&amp;"-"&amp;H261&amp;"-"&amp;B261</f>
        <v>ICL-06-100–200-wet</v>
      </c>
      <c r="B261" s="8" t="s">
        <v>71</v>
      </c>
      <c r="C261" s="8" t="s">
        <v>72</v>
      </c>
      <c r="D261" s="8" t="s">
        <v>44</v>
      </c>
      <c r="E261" s="8" t="n">
        <v>6</v>
      </c>
      <c r="F261" s="8" t="n">
        <v>100</v>
      </c>
      <c r="G261" s="8" t="n">
        <v>200</v>
      </c>
      <c r="H261" s="7" t="str">
        <f aca="false">F261&amp;"–"&amp;G261</f>
        <v>100–200</v>
      </c>
      <c r="I261" s="12" t="n">
        <v>12.389</v>
      </c>
      <c r="J261" s="12" t="n">
        <v>0.084</v>
      </c>
      <c r="K261" s="13" t="n">
        <f aca="false">I261-J261</f>
        <v>12.305</v>
      </c>
      <c r="L261" s="14" t="n">
        <f aca="false">IF(I261=0,"",100*J261/I261)</f>
        <v>0.678020824925337</v>
      </c>
      <c r="M261" s="12" t="n">
        <v>14.499</v>
      </c>
      <c r="N261" s="12" t="n">
        <v>0.119</v>
      </c>
      <c r="O261" s="15" t="n">
        <v>0.8545</v>
      </c>
      <c r="P261" s="15" t="n">
        <v>0.9346</v>
      </c>
      <c r="Q261" s="11" t="s">
        <v>73</v>
      </c>
    </row>
    <row r="262" customFormat="false" ht="15" hidden="false" customHeight="false" outlineLevel="0" collapsed="false">
      <c r="A262" s="7" t="str">
        <f aca="false">D262&amp;"-"&amp;TEXT(E262,"00")&amp;"-"&amp;H262&amp;"-"&amp;B262</f>
        <v>ICL-06-200–300-wet</v>
      </c>
      <c r="B262" s="8" t="s">
        <v>71</v>
      </c>
      <c r="C262" s="8" t="s">
        <v>72</v>
      </c>
      <c r="D262" s="8" t="s">
        <v>44</v>
      </c>
      <c r="E262" s="8" t="n">
        <v>6</v>
      </c>
      <c r="F262" s="8" t="n">
        <v>200</v>
      </c>
      <c r="G262" s="8" t="n">
        <v>300</v>
      </c>
      <c r="H262" s="7" t="str">
        <f aca="false">F262&amp;"–"&amp;G262</f>
        <v>200–300</v>
      </c>
      <c r="I262" s="12" t="n">
        <v>12.898</v>
      </c>
      <c r="J262" s="12" t="n">
        <v>0.322</v>
      </c>
      <c r="K262" s="13" t="n">
        <f aca="false">I262-J262</f>
        <v>12.576</v>
      </c>
      <c r="L262" s="14" t="n">
        <f aca="false">IF(I262=0,"",100*J262/I262)</f>
        <v>2.49651108699023</v>
      </c>
      <c r="M262" s="12" t="n">
        <v>14.044</v>
      </c>
      <c r="N262" s="12" t="n">
        <v>0.314</v>
      </c>
      <c r="O262" s="15" t="n">
        <v>0.9184</v>
      </c>
      <c r="P262" s="15" t="n">
        <v>1.0268</v>
      </c>
      <c r="Q262" s="11"/>
    </row>
    <row r="263" customFormat="false" ht="15" hidden="false" customHeight="false" outlineLevel="0" collapsed="false">
      <c r="A263" s="7" t="str">
        <f aca="false">D263&amp;"-"&amp;TEXT(E263,"00")&amp;"-"&amp;H263&amp;"-"&amp;B263</f>
        <v>ICL-07-0–100-wet</v>
      </c>
      <c r="B263" s="8" t="s">
        <v>71</v>
      </c>
      <c r="C263" s="8" t="s">
        <v>72</v>
      </c>
      <c r="D263" s="8" t="s">
        <v>44</v>
      </c>
      <c r="E263" s="8" t="n">
        <v>7</v>
      </c>
      <c r="F263" s="8" t="n">
        <v>0</v>
      </c>
      <c r="G263" s="8" t="n">
        <v>100</v>
      </c>
      <c r="H263" s="7" t="str">
        <f aca="false">F263&amp;"–"&amp;G263</f>
        <v>0–100</v>
      </c>
      <c r="I263" s="12" t="n">
        <v>15.023</v>
      </c>
      <c r="J263" s="12" t="n">
        <v>0.467</v>
      </c>
      <c r="K263" s="13" t="n">
        <f aca="false">I263-J263</f>
        <v>14.556</v>
      </c>
      <c r="L263" s="14" t="n">
        <f aca="false">IF(I263=0,"",100*J263/I263)</f>
        <v>3.10856686414165</v>
      </c>
      <c r="M263" s="12" t="n">
        <v>17.581</v>
      </c>
      <c r="N263" s="12" t="n">
        <v>0.527</v>
      </c>
      <c r="O263" s="15" t="n">
        <v>0.8545</v>
      </c>
      <c r="P263" s="15" t="n">
        <v>0.9346</v>
      </c>
      <c r="Q263" s="11" t="s">
        <v>73</v>
      </c>
    </row>
    <row r="264" customFormat="false" ht="15" hidden="false" customHeight="false" outlineLevel="0" collapsed="false">
      <c r="A264" s="7" t="str">
        <f aca="false">D264&amp;"-"&amp;TEXT(E264,"00")&amp;"-"&amp;H264&amp;"-"&amp;B264</f>
        <v>ICL-07-100–200-wet</v>
      </c>
      <c r="B264" s="8" t="s">
        <v>71</v>
      </c>
      <c r="C264" s="8" t="s">
        <v>72</v>
      </c>
      <c r="D264" s="8" t="s">
        <v>44</v>
      </c>
      <c r="E264" s="8" t="n">
        <v>7</v>
      </c>
      <c r="F264" s="8" t="n">
        <v>100</v>
      </c>
      <c r="G264" s="8" t="n">
        <v>200</v>
      </c>
      <c r="H264" s="7" t="str">
        <f aca="false">F264&amp;"–"&amp;G264</f>
        <v>100–200</v>
      </c>
      <c r="I264" s="12" t="n">
        <v>16.993</v>
      </c>
      <c r="J264" s="12" t="n">
        <v>0.277</v>
      </c>
      <c r="K264" s="13" t="n">
        <f aca="false">I264-J264</f>
        <v>16.716</v>
      </c>
      <c r="L264" s="14" t="n">
        <f aca="false">IF(I264=0,"",100*J264/I264)</f>
        <v>1.63008297534279</v>
      </c>
      <c r="M264" s="12" t="n">
        <v>19.888</v>
      </c>
      <c r="N264" s="12" t="n">
        <v>0.326</v>
      </c>
      <c r="O264" s="15" t="n">
        <v>0.8545</v>
      </c>
      <c r="P264" s="15" t="n">
        <v>0.9346</v>
      </c>
      <c r="Q264" s="11" t="s">
        <v>73</v>
      </c>
    </row>
    <row r="265" customFormat="false" ht="15" hidden="false" customHeight="false" outlineLevel="0" collapsed="false">
      <c r="A265" s="7" t="str">
        <f aca="false">D265&amp;"-"&amp;TEXT(E265,"00")&amp;"-"&amp;H265&amp;"-"&amp;B265</f>
        <v>ICL-07-200–300-wet</v>
      </c>
      <c r="B265" s="8" t="s">
        <v>71</v>
      </c>
      <c r="C265" s="8" t="s">
        <v>72</v>
      </c>
      <c r="D265" s="8" t="s">
        <v>44</v>
      </c>
      <c r="E265" s="8" t="n">
        <v>7</v>
      </c>
      <c r="F265" s="8" t="n">
        <v>200</v>
      </c>
      <c r="G265" s="8" t="n">
        <v>300</v>
      </c>
      <c r="H265" s="7" t="str">
        <f aca="false">F265&amp;"–"&amp;G265</f>
        <v>200–300</v>
      </c>
      <c r="I265" s="12" t="n">
        <v>10.993</v>
      </c>
      <c r="J265" s="12" t="n">
        <v>0.292</v>
      </c>
      <c r="K265" s="13" t="n">
        <f aca="false">I265-J265</f>
        <v>10.701</v>
      </c>
      <c r="L265" s="14" t="n">
        <f aca="false">IF(I265=0,"",100*J265/I265)</f>
        <v>2.65623578640953</v>
      </c>
      <c r="M265" s="12" t="n">
        <v>11.97</v>
      </c>
      <c r="N265" s="12" t="n">
        <v>0.284</v>
      </c>
      <c r="O265" s="15" t="n">
        <v>0.9184</v>
      </c>
      <c r="P265" s="15" t="n">
        <v>1.0268</v>
      </c>
      <c r="Q265" s="11"/>
    </row>
    <row r="266" customFormat="false" ht="15" hidden="false" customHeight="false" outlineLevel="0" collapsed="false">
      <c r="A266" s="7" t="str">
        <f aca="false">D266&amp;"-"&amp;TEXT(E266,"00")&amp;"-"&amp;H266&amp;"-"&amp;B266</f>
        <v>ICL-08-0–100-wet</v>
      </c>
      <c r="B266" s="8" t="s">
        <v>71</v>
      </c>
      <c r="C266" s="8" t="s">
        <v>72</v>
      </c>
      <c r="D266" s="8" t="s">
        <v>44</v>
      </c>
      <c r="E266" s="8" t="n">
        <v>8</v>
      </c>
      <c r="F266" s="8" t="n">
        <v>0</v>
      </c>
      <c r="G266" s="8" t="n">
        <v>100</v>
      </c>
      <c r="H266" s="7" t="str">
        <f aca="false">F266&amp;"–"&amp;G266</f>
        <v>0–100</v>
      </c>
      <c r="I266" s="12" t="n">
        <v>15.682</v>
      </c>
      <c r="J266" s="12" t="n">
        <v>0.387</v>
      </c>
      <c r="K266" s="13" t="n">
        <f aca="false">I266-J266</f>
        <v>15.295</v>
      </c>
      <c r="L266" s="14" t="n">
        <f aca="false">IF(I266=0,"",100*J266/I266)</f>
        <v>2.46779747481189</v>
      </c>
      <c r="M266" s="12" t="n">
        <v>18.354</v>
      </c>
      <c r="N266" s="12" t="n">
        <v>0.442</v>
      </c>
      <c r="O266" s="15" t="n">
        <v>0.8545</v>
      </c>
      <c r="P266" s="15" t="n">
        <v>0.9346</v>
      </c>
      <c r="Q266" s="11" t="s">
        <v>73</v>
      </c>
    </row>
    <row r="267" customFormat="false" ht="15" hidden="false" customHeight="false" outlineLevel="0" collapsed="false">
      <c r="A267" s="7" t="str">
        <f aca="false">D267&amp;"-"&amp;TEXT(E267,"00")&amp;"-"&amp;H267&amp;"-"&amp;B267</f>
        <v>ICL-08-100–200-wet</v>
      </c>
      <c r="B267" s="8" t="s">
        <v>71</v>
      </c>
      <c r="C267" s="8" t="s">
        <v>72</v>
      </c>
      <c r="D267" s="8" t="s">
        <v>44</v>
      </c>
      <c r="E267" s="8" t="n">
        <v>8</v>
      </c>
      <c r="F267" s="8" t="n">
        <v>100</v>
      </c>
      <c r="G267" s="8" t="n">
        <v>200</v>
      </c>
      <c r="H267" s="7" t="str">
        <f aca="false">F267&amp;"–"&amp;G267</f>
        <v>100–200</v>
      </c>
      <c r="I267" s="12" t="n">
        <v>11.759</v>
      </c>
      <c r="J267" s="12" t="n">
        <v>0.359</v>
      </c>
      <c r="K267" s="13" t="n">
        <f aca="false">I267-J267</f>
        <v>11.4</v>
      </c>
      <c r="L267" s="14" t="n">
        <f aca="false">IF(I267=0,"",100*J267/I267)</f>
        <v>3.05298069563738</v>
      </c>
      <c r="M267" s="12" t="n">
        <v>13.762</v>
      </c>
      <c r="N267" s="12" t="n">
        <v>0.414</v>
      </c>
      <c r="O267" s="15" t="n">
        <v>0.8545</v>
      </c>
      <c r="P267" s="15" t="n">
        <v>0.9346</v>
      </c>
      <c r="Q267" s="11" t="s">
        <v>73</v>
      </c>
    </row>
    <row r="268" customFormat="false" ht="15" hidden="false" customHeight="false" outlineLevel="0" collapsed="false">
      <c r="A268" s="7" t="str">
        <f aca="false">D268&amp;"-"&amp;TEXT(E268,"00")&amp;"-"&amp;H268&amp;"-"&amp;B268</f>
        <v>ICL-08-200–300-wet</v>
      </c>
      <c r="B268" s="8" t="s">
        <v>71</v>
      </c>
      <c r="C268" s="8" t="s">
        <v>72</v>
      </c>
      <c r="D268" s="8" t="s">
        <v>44</v>
      </c>
      <c r="E268" s="8" t="n">
        <v>8</v>
      </c>
      <c r="F268" s="8" t="n">
        <v>200</v>
      </c>
      <c r="G268" s="8" t="n">
        <v>300</v>
      </c>
      <c r="H268" s="7" t="str">
        <f aca="false">F268&amp;"–"&amp;G268</f>
        <v>200–300</v>
      </c>
      <c r="I268" s="12" t="n">
        <v>12.939</v>
      </c>
      <c r="J268" s="12" t="n">
        <v>0.323</v>
      </c>
      <c r="K268" s="13" t="n">
        <f aca="false">I268-J268</f>
        <v>12.616</v>
      </c>
      <c r="L268" s="14" t="n">
        <f aca="false">IF(I268=0,"",100*J268/I268)</f>
        <v>2.49632892804699</v>
      </c>
      <c r="M268" s="12" t="n">
        <v>14.088</v>
      </c>
      <c r="N268" s="12" t="n">
        <v>0.315</v>
      </c>
      <c r="O268" s="15" t="n">
        <v>0.9184</v>
      </c>
      <c r="P268" s="15" t="n">
        <v>1.0268</v>
      </c>
      <c r="Q268" s="11"/>
    </row>
    <row r="269" customFormat="false" ht="15" hidden="false" customHeight="false" outlineLevel="0" collapsed="false">
      <c r="A269" s="7" t="str">
        <f aca="false">D269&amp;"-"&amp;TEXT(E269,"00")&amp;"-"&amp;H269&amp;"-"&amp;B269</f>
        <v>ICL-09-0–100-wet</v>
      </c>
      <c r="B269" s="8" t="s">
        <v>71</v>
      </c>
      <c r="C269" s="8" t="s">
        <v>72</v>
      </c>
      <c r="D269" s="8" t="s">
        <v>44</v>
      </c>
      <c r="E269" s="8" t="n">
        <v>9</v>
      </c>
      <c r="F269" s="8" t="n">
        <v>0</v>
      </c>
      <c r="G269" s="8" t="n">
        <v>100</v>
      </c>
      <c r="H269" s="7" t="str">
        <f aca="false">F269&amp;"–"&amp;G269</f>
        <v>0–100</v>
      </c>
      <c r="I269" s="12" t="n">
        <v>13.292</v>
      </c>
      <c r="J269" s="12" t="n">
        <v>0.418</v>
      </c>
      <c r="K269" s="13" t="n">
        <f aca="false">I269-J269</f>
        <v>12.874</v>
      </c>
      <c r="L269" s="14" t="n">
        <f aca="false">IF(I269=0,"",100*J269/I269)</f>
        <v>3.14474872103521</v>
      </c>
      <c r="M269" s="12" t="n">
        <v>15.556</v>
      </c>
      <c r="N269" s="12" t="n">
        <v>0.475</v>
      </c>
      <c r="O269" s="15" t="n">
        <v>0.8545</v>
      </c>
      <c r="P269" s="15" t="n">
        <v>0.9346</v>
      </c>
      <c r="Q269" s="11" t="s">
        <v>73</v>
      </c>
    </row>
    <row r="270" customFormat="false" ht="15" hidden="false" customHeight="false" outlineLevel="0" collapsed="false">
      <c r="A270" s="7" t="str">
        <f aca="false">D270&amp;"-"&amp;TEXT(E270,"00")&amp;"-"&amp;H270&amp;"-"&amp;B270</f>
        <v>ICL-09-100–200-wet</v>
      </c>
      <c r="B270" s="8" t="s">
        <v>71</v>
      </c>
      <c r="C270" s="8" t="s">
        <v>72</v>
      </c>
      <c r="D270" s="8" t="s">
        <v>44</v>
      </c>
      <c r="E270" s="8" t="n">
        <v>9</v>
      </c>
      <c r="F270" s="8" t="n">
        <v>100</v>
      </c>
      <c r="G270" s="8" t="n">
        <v>200</v>
      </c>
      <c r="H270" s="7" t="str">
        <f aca="false">F270&amp;"–"&amp;G270</f>
        <v>100–200</v>
      </c>
      <c r="I270" s="12" t="n">
        <v>11.329</v>
      </c>
      <c r="J270" s="12" t="n">
        <v>0.251</v>
      </c>
      <c r="K270" s="13" t="n">
        <f aca="false">I270-J270</f>
        <v>11.078</v>
      </c>
      <c r="L270" s="14" t="n">
        <f aca="false">IF(I270=0,"",100*J270/I270)</f>
        <v>2.21555300556095</v>
      </c>
      <c r="M270" s="12" t="n">
        <v>13.259</v>
      </c>
      <c r="N270" s="12" t="n">
        <v>0.298</v>
      </c>
      <c r="O270" s="15" t="n">
        <v>0.8545</v>
      </c>
      <c r="P270" s="15" t="n">
        <v>0.9346</v>
      </c>
      <c r="Q270" s="11" t="s">
        <v>73</v>
      </c>
    </row>
    <row r="271" customFormat="false" ht="15" hidden="false" customHeight="false" outlineLevel="0" collapsed="false">
      <c r="A271" s="7" t="str">
        <f aca="false">D271&amp;"-"&amp;TEXT(E271,"00")&amp;"-"&amp;H271&amp;"-"&amp;B271</f>
        <v>ICL-09-200–300-wet</v>
      </c>
      <c r="B271" s="8" t="s">
        <v>71</v>
      </c>
      <c r="C271" s="8" t="s">
        <v>72</v>
      </c>
      <c r="D271" s="8" t="s">
        <v>44</v>
      </c>
      <c r="E271" s="8" t="n">
        <v>9</v>
      </c>
      <c r="F271" s="8" t="n">
        <v>200</v>
      </c>
      <c r="G271" s="8" t="n">
        <v>300</v>
      </c>
      <c r="H271" s="7" t="str">
        <f aca="false">F271&amp;"–"&amp;G271</f>
        <v>200–300</v>
      </c>
      <c r="I271" s="12" t="n">
        <v>13.051</v>
      </c>
      <c r="J271" s="12" t="n">
        <v>0.324</v>
      </c>
      <c r="K271" s="13" t="n">
        <f aca="false">I271-J271</f>
        <v>12.727</v>
      </c>
      <c r="L271" s="14" t="n">
        <f aca="false">IF(I271=0,"",100*J271/I271)</f>
        <v>2.48256838556432</v>
      </c>
      <c r="M271" s="12" t="n">
        <v>14.21</v>
      </c>
      <c r="N271" s="12" t="n">
        <v>0.315</v>
      </c>
      <c r="O271" s="15" t="n">
        <v>0.9184</v>
      </c>
      <c r="P271" s="15" t="n">
        <v>1.0268</v>
      </c>
      <c r="Q271" s="11"/>
    </row>
    <row r="272" customFormat="false" ht="15" hidden="false" customHeight="false" outlineLevel="0" collapsed="false">
      <c r="A272" s="7" t="str">
        <f aca="false">D272&amp;"-"&amp;TEXT(E272,"00")&amp;"-"&amp;H272&amp;"-"&amp;B272</f>
        <v>ICL-10-0–100-wet</v>
      </c>
      <c r="B272" s="8" t="s">
        <v>71</v>
      </c>
      <c r="C272" s="8" t="s">
        <v>72</v>
      </c>
      <c r="D272" s="8" t="s">
        <v>44</v>
      </c>
      <c r="E272" s="8" t="n">
        <v>10</v>
      </c>
      <c r="F272" s="8" t="n">
        <v>0</v>
      </c>
      <c r="G272" s="8" t="n">
        <v>100</v>
      </c>
      <c r="H272" s="7" t="str">
        <f aca="false">F272&amp;"–"&amp;G272</f>
        <v>0–100</v>
      </c>
      <c r="I272" s="12" t="n">
        <v>9.732</v>
      </c>
      <c r="J272" s="12" t="n">
        <v>0.389</v>
      </c>
      <c r="K272" s="13" t="n">
        <f aca="false">I272-J272</f>
        <v>9.343</v>
      </c>
      <c r="L272" s="14" t="n">
        <f aca="false">IF(I272=0,"",100*J272/I272)</f>
        <v>3.99712289354706</v>
      </c>
      <c r="M272" s="12" t="n">
        <v>11.389</v>
      </c>
      <c r="N272" s="12" t="n">
        <v>0.444</v>
      </c>
      <c r="O272" s="15" t="n">
        <v>0.8545</v>
      </c>
      <c r="P272" s="15" t="n">
        <v>0.9346</v>
      </c>
      <c r="Q272" s="11" t="s">
        <v>73</v>
      </c>
    </row>
    <row r="273" customFormat="false" ht="15" hidden="false" customHeight="false" outlineLevel="0" collapsed="false">
      <c r="A273" s="7" t="str">
        <f aca="false">D273&amp;"-"&amp;TEXT(E273,"00")&amp;"-"&amp;H273&amp;"-"&amp;B273</f>
        <v>ICL-10-100–200-wet</v>
      </c>
      <c r="B273" s="8" t="s">
        <v>71</v>
      </c>
      <c r="C273" s="8" t="s">
        <v>72</v>
      </c>
      <c r="D273" s="8" t="s">
        <v>44</v>
      </c>
      <c r="E273" s="8" t="n">
        <v>10</v>
      </c>
      <c r="F273" s="8" t="n">
        <v>100</v>
      </c>
      <c r="G273" s="8" t="n">
        <v>200</v>
      </c>
      <c r="H273" s="7" t="str">
        <f aca="false">F273&amp;"–"&amp;G273</f>
        <v>100–200</v>
      </c>
      <c r="I273" s="12" t="n">
        <v>8.255</v>
      </c>
      <c r="J273" s="12" t="n">
        <v>0.193</v>
      </c>
      <c r="K273" s="13" t="n">
        <f aca="false">I273-J273</f>
        <v>8.062</v>
      </c>
      <c r="L273" s="14" t="n">
        <f aca="false">IF(I273=0,"",100*J273/I273)</f>
        <v>2.33797698364628</v>
      </c>
      <c r="M273" s="12" t="n">
        <v>9.661</v>
      </c>
      <c r="N273" s="12" t="n">
        <v>0.236</v>
      </c>
      <c r="O273" s="15" t="n">
        <v>0.8545</v>
      </c>
      <c r="P273" s="15" t="n">
        <v>0.9346</v>
      </c>
      <c r="Q273" s="11" t="s">
        <v>73</v>
      </c>
    </row>
    <row r="274" customFormat="false" ht="15" hidden="false" customHeight="false" outlineLevel="0" collapsed="false">
      <c r="A274" s="7" t="str">
        <f aca="false">D274&amp;"-"&amp;TEXT(E274,"00")&amp;"-"&amp;H274&amp;"-"&amp;B274</f>
        <v>ICL-10-200–300-wet</v>
      </c>
      <c r="B274" s="8" t="s">
        <v>71</v>
      </c>
      <c r="C274" s="8" t="s">
        <v>72</v>
      </c>
      <c r="D274" s="8" t="s">
        <v>44</v>
      </c>
      <c r="E274" s="8" t="n">
        <v>10</v>
      </c>
      <c r="F274" s="8" t="n">
        <v>200</v>
      </c>
      <c r="G274" s="8" t="n">
        <v>300</v>
      </c>
      <c r="H274" s="7" t="str">
        <f aca="false">F274&amp;"–"&amp;G274</f>
        <v>200–300</v>
      </c>
      <c r="I274" s="12" t="n">
        <v>10.92</v>
      </c>
      <c r="J274" s="12" t="n">
        <v>0.449</v>
      </c>
      <c r="K274" s="13" t="n">
        <f aca="false">I274-J274</f>
        <v>10.471</v>
      </c>
      <c r="L274" s="14" t="n">
        <f aca="false">IF(I274=0,"",100*J274/I274)</f>
        <v>4.11172161172161</v>
      </c>
      <c r="M274" s="12" t="n">
        <v>11.89</v>
      </c>
      <c r="N274" s="12" t="n">
        <v>0.438</v>
      </c>
      <c r="O274" s="15" t="n">
        <v>0.9184</v>
      </c>
      <c r="P274" s="15" t="n">
        <v>1.0268</v>
      </c>
      <c r="Q274" s="11"/>
    </row>
    <row r="275" customFormat="false" ht="15" hidden="false" customHeight="false" outlineLevel="0" collapsed="false">
      <c r="A275" s="7" t="str">
        <f aca="false">D275&amp;"-"&amp;TEXT(E275,"00")&amp;"-"&amp;H275&amp;"-"&amp;B275</f>
        <v>ICL-11-0–100-wet</v>
      </c>
      <c r="B275" s="8" t="s">
        <v>71</v>
      </c>
      <c r="C275" s="8" t="s">
        <v>72</v>
      </c>
      <c r="D275" s="8" t="s">
        <v>44</v>
      </c>
      <c r="E275" s="8" t="n">
        <v>11</v>
      </c>
      <c r="F275" s="8" t="n">
        <v>0</v>
      </c>
      <c r="G275" s="8" t="n">
        <v>100</v>
      </c>
      <c r="H275" s="7" t="str">
        <f aca="false">F275&amp;"–"&amp;G275</f>
        <v>0–100</v>
      </c>
      <c r="I275" s="12" t="n">
        <v>12.825</v>
      </c>
      <c r="J275" s="12" t="n">
        <v>0.39</v>
      </c>
      <c r="K275" s="13" t="n">
        <f aca="false">I275-J275</f>
        <v>12.435</v>
      </c>
      <c r="L275" s="14" t="n">
        <f aca="false">IF(I275=0,"",100*J275/I275)</f>
        <v>3.04093567251462</v>
      </c>
      <c r="M275" s="12" t="n">
        <v>15.009</v>
      </c>
      <c r="N275" s="12" t="n">
        <v>0.446</v>
      </c>
      <c r="O275" s="15" t="n">
        <v>0.8545</v>
      </c>
      <c r="P275" s="15" t="n">
        <v>0.9346</v>
      </c>
      <c r="Q275" s="11" t="s">
        <v>73</v>
      </c>
    </row>
    <row r="276" customFormat="false" ht="15" hidden="false" customHeight="false" outlineLevel="0" collapsed="false">
      <c r="A276" s="7" t="str">
        <f aca="false">D276&amp;"-"&amp;TEXT(E276,"00")&amp;"-"&amp;H276&amp;"-"&amp;B276</f>
        <v>ICL-11-100–200-wet</v>
      </c>
      <c r="B276" s="8" t="s">
        <v>71</v>
      </c>
      <c r="C276" s="8" t="s">
        <v>72</v>
      </c>
      <c r="D276" s="8" t="s">
        <v>44</v>
      </c>
      <c r="E276" s="8" t="n">
        <v>11</v>
      </c>
      <c r="F276" s="8" t="n">
        <v>100</v>
      </c>
      <c r="G276" s="8" t="n">
        <v>200</v>
      </c>
      <c r="H276" s="7" t="str">
        <f aca="false">F276&amp;"–"&amp;G276</f>
        <v>100–200</v>
      </c>
      <c r="I276" s="12" t="n">
        <v>7.78</v>
      </c>
      <c r="J276" s="12" t="n">
        <v>0.249</v>
      </c>
      <c r="K276" s="13" t="n">
        <f aca="false">I276-J276</f>
        <v>7.531</v>
      </c>
      <c r="L276" s="14" t="n">
        <f aca="false">IF(I276=0,"",100*J276/I276)</f>
        <v>3.20051413881748</v>
      </c>
      <c r="M276" s="12" t="n">
        <v>9.105</v>
      </c>
      <c r="N276" s="12" t="n">
        <v>0.296</v>
      </c>
      <c r="O276" s="15" t="n">
        <v>0.8545</v>
      </c>
      <c r="P276" s="15" t="n">
        <v>0.9346</v>
      </c>
      <c r="Q276" s="11" t="s">
        <v>74</v>
      </c>
    </row>
    <row r="277" customFormat="false" ht="15" hidden="false" customHeight="false" outlineLevel="0" collapsed="false">
      <c r="A277" s="7" t="str">
        <f aca="false">D277&amp;"-"&amp;TEXT(E277,"00")&amp;"-"&amp;H277&amp;"-"&amp;B277</f>
        <v>ICL-11-200–300-wet</v>
      </c>
      <c r="B277" s="8" t="s">
        <v>71</v>
      </c>
      <c r="C277" s="8" t="s">
        <v>72</v>
      </c>
      <c r="D277" s="8" t="s">
        <v>44</v>
      </c>
      <c r="E277" s="8" t="n">
        <v>11</v>
      </c>
      <c r="F277" s="8" t="n">
        <v>200</v>
      </c>
      <c r="G277" s="8" t="n">
        <v>300</v>
      </c>
      <c r="H277" s="7" t="str">
        <f aca="false">F277&amp;"–"&amp;G277</f>
        <v>200–300</v>
      </c>
      <c r="I277" s="12" t="n">
        <v>12.831</v>
      </c>
      <c r="J277" s="12" t="n">
        <v>0.511</v>
      </c>
      <c r="K277" s="13" t="n">
        <f aca="false">I277-J277</f>
        <v>12.32</v>
      </c>
      <c r="L277" s="14" t="n">
        <f aca="false">IF(I277=0,"",100*J277/I277)</f>
        <v>3.98254228041462</v>
      </c>
      <c r="M277" s="12" t="n">
        <v>13.971</v>
      </c>
      <c r="N277" s="12" t="n">
        <v>0.497</v>
      </c>
      <c r="O277" s="15" t="n">
        <v>0.9184</v>
      </c>
      <c r="P277" s="15" t="n">
        <v>1.0268</v>
      </c>
      <c r="Q277" s="11"/>
    </row>
    <row r="278" customFormat="false" ht="15" hidden="false" customHeight="false" outlineLevel="0" collapsed="false">
      <c r="A278" s="7" t="str">
        <f aca="false">D278&amp;"-"&amp;TEXT(E278,"00")&amp;"-"&amp;H278&amp;"-"&amp;B278</f>
        <v>ICL-12-0–100-wet</v>
      </c>
      <c r="B278" s="8" t="s">
        <v>71</v>
      </c>
      <c r="C278" s="8" t="s">
        <v>72</v>
      </c>
      <c r="D278" s="8" t="s">
        <v>44</v>
      </c>
      <c r="E278" s="8" t="n">
        <v>12</v>
      </c>
      <c r="F278" s="8" t="n">
        <v>0</v>
      </c>
      <c r="G278" s="8" t="n">
        <v>100</v>
      </c>
      <c r="H278" s="7" t="str">
        <f aca="false">F278&amp;"–"&amp;G278</f>
        <v>0–100</v>
      </c>
      <c r="I278" s="12" t="n">
        <v>10.646</v>
      </c>
      <c r="J278" s="12" t="n">
        <v>0.278</v>
      </c>
      <c r="K278" s="13" t="n">
        <f aca="false">I278-J278</f>
        <v>10.368</v>
      </c>
      <c r="L278" s="14" t="n">
        <f aca="false">IF(I278=0,"",100*J278/I278)</f>
        <v>2.61130941198572</v>
      </c>
      <c r="M278" s="12" t="n">
        <v>12.459</v>
      </c>
      <c r="N278" s="12" t="n">
        <v>0.326</v>
      </c>
      <c r="O278" s="15" t="n">
        <v>0.8545</v>
      </c>
      <c r="P278" s="15" t="n">
        <v>0.9346</v>
      </c>
      <c r="Q278" s="11" t="s">
        <v>73</v>
      </c>
    </row>
    <row r="279" customFormat="false" ht="15" hidden="false" customHeight="false" outlineLevel="0" collapsed="false">
      <c r="A279" s="7" t="str">
        <f aca="false">D279&amp;"-"&amp;TEXT(E279,"00")&amp;"-"&amp;H279&amp;"-"&amp;B279</f>
        <v>ICL-12-100–200-wet</v>
      </c>
      <c r="B279" s="8" t="s">
        <v>71</v>
      </c>
      <c r="C279" s="8" t="s">
        <v>72</v>
      </c>
      <c r="D279" s="8" t="s">
        <v>44</v>
      </c>
      <c r="E279" s="8" t="n">
        <v>12</v>
      </c>
      <c r="F279" s="8" t="n">
        <v>100</v>
      </c>
      <c r="G279" s="8" t="n">
        <v>200</v>
      </c>
      <c r="H279" s="7" t="str">
        <f aca="false">F279&amp;"–"&amp;G279</f>
        <v>100–200</v>
      </c>
      <c r="I279" s="12" t="n">
        <v>8.087</v>
      </c>
      <c r="J279" s="12" t="n">
        <v>0.306</v>
      </c>
      <c r="K279" s="13" t="n">
        <f aca="false">I279-J279</f>
        <v>7.781</v>
      </c>
      <c r="L279" s="14" t="n">
        <f aca="false">IF(I279=0,"",100*J279/I279)</f>
        <v>3.78385062445901</v>
      </c>
      <c r="M279" s="12" t="n">
        <v>9.464</v>
      </c>
      <c r="N279" s="12" t="n">
        <v>0.358</v>
      </c>
      <c r="O279" s="15" t="n">
        <v>0.8545</v>
      </c>
      <c r="P279" s="15" t="n">
        <v>0.9346</v>
      </c>
      <c r="Q279" s="11" t="s">
        <v>73</v>
      </c>
    </row>
    <row r="280" customFormat="false" ht="15" hidden="false" customHeight="false" outlineLevel="0" collapsed="false">
      <c r="A280" s="7" t="str">
        <f aca="false">D280&amp;"-"&amp;TEXT(E280,"00")&amp;"-"&amp;H280&amp;"-"&amp;B280</f>
        <v>ICL-12-200–300-wet</v>
      </c>
      <c r="B280" s="8" t="s">
        <v>71</v>
      </c>
      <c r="C280" s="8" t="s">
        <v>72</v>
      </c>
      <c r="D280" s="8" t="s">
        <v>44</v>
      </c>
      <c r="E280" s="8" t="n">
        <v>12</v>
      </c>
      <c r="F280" s="8" t="n">
        <v>200</v>
      </c>
      <c r="G280" s="8" t="n">
        <v>300</v>
      </c>
      <c r="H280" s="7" t="str">
        <f aca="false">F280&amp;"–"&amp;G280</f>
        <v>200–300</v>
      </c>
      <c r="I280" s="12" t="n">
        <v>12.534</v>
      </c>
      <c r="J280" s="12" t="n">
        <v>0.255</v>
      </c>
      <c r="K280" s="13" t="n">
        <f aca="false">I280-J280</f>
        <v>12.279</v>
      </c>
      <c r="L280" s="14" t="n">
        <f aca="false">IF(I280=0,"",100*J280/I280)</f>
        <v>2.03446625179512</v>
      </c>
      <c r="M280" s="12" t="n">
        <v>13.648</v>
      </c>
      <c r="N280" s="12" t="n">
        <v>0.248</v>
      </c>
      <c r="O280" s="15" t="n">
        <v>0.9184</v>
      </c>
      <c r="P280" s="15" t="n">
        <v>1.0268</v>
      </c>
      <c r="Q280" s="11"/>
    </row>
    <row r="281" customFormat="false" ht="15" hidden="false" customHeight="false" outlineLevel="0" collapsed="false">
      <c r="A281" s="7" t="str">
        <f aca="false">D281&amp;"-"&amp;TEXT(E281,"00")&amp;"-"&amp;H281&amp;"-"&amp;B281</f>
        <v>ICL-13-0–100-wet</v>
      </c>
      <c r="B281" s="8" t="s">
        <v>71</v>
      </c>
      <c r="C281" s="8" t="s">
        <v>72</v>
      </c>
      <c r="D281" s="8" t="s">
        <v>44</v>
      </c>
      <c r="E281" s="8" t="n">
        <v>13</v>
      </c>
      <c r="F281" s="8" t="n">
        <v>0</v>
      </c>
      <c r="G281" s="8" t="n">
        <v>100</v>
      </c>
      <c r="H281" s="7" t="str">
        <f aca="false">F281&amp;"–"&amp;G281</f>
        <v>0–100</v>
      </c>
      <c r="I281" s="12" t="n">
        <v>11.933</v>
      </c>
      <c r="J281" s="12" t="n">
        <v>0.529</v>
      </c>
      <c r="K281" s="13" t="n">
        <f aca="false">I281-J281</f>
        <v>11.404</v>
      </c>
      <c r="L281" s="14" t="n">
        <f aca="false">IF(I281=0,"",100*J281/I281)</f>
        <v>4.43308472303696</v>
      </c>
      <c r="M281" s="12" t="n">
        <v>13.966</v>
      </c>
      <c r="N281" s="12" t="n">
        <v>0.594</v>
      </c>
      <c r="O281" s="15" t="n">
        <v>0.8545</v>
      </c>
      <c r="P281" s="15" t="n">
        <v>0.9346</v>
      </c>
      <c r="Q281" s="11" t="s">
        <v>73</v>
      </c>
    </row>
    <row r="282" customFormat="false" ht="15" hidden="false" customHeight="false" outlineLevel="0" collapsed="false">
      <c r="A282" s="7" t="str">
        <f aca="false">D282&amp;"-"&amp;TEXT(E282,"00")&amp;"-"&amp;H282&amp;"-"&amp;B282</f>
        <v>ICL-13-100–200-wet</v>
      </c>
      <c r="B282" s="8" t="s">
        <v>71</v>
      </c>
      <c r="C282" s="8" t="s">
        <v>72</v>
      </c>
      <c r="D282" s="8" t="s">
        <v>44</v>
      </c>
      <c r="E282" s="8" t="n">
        <v>13</v>
      </c>
      <c r="F282" s="8" t="n">
        <v>100</v>
      </c>
      <c r="G282" s="8" t="n">
        <v>200</v>
      </c>
      <c r="H282" s="7" t="str">
        <f aca="false">F282&amp;"–"&amp;G282</f>
        <v>100–200</v>
      </c>
      <c r="I282" s="12" t="n">
        <v>10.648</v>
      </c>
      <c r="J282" s="12" t="n">
        <v>0.304</v>
      </c>
      <c r="K282" s="13" t="n">
        <f aca="false">I282-J282</f>
        <v>10.344</v>
      </c>
      <c r="L282" s="14" t="n">
        <f aca="false">IF(I282=0,"",100*J282/I282)</f>
        <v>2.854996243426</v>
      </c>
      <c r="M282" s="12" t="n">
        <v>12.461</v>
      </c>
      <c r="N282" s="12" t="n">
        <v>0.355</v>
      </c>
      <c r="O282" s="15" t="n">
        <v>0.8545</v>
      </c>
      <c r="P282" s="15" t="n">
        <v>0.9346</v>
      </c>
      <c r="Q282" s="11" t="s">
        <v>73</v>
      </c>
    </row>
    <row r="283" customFormat="false" ht="15" hidden="false" customHeight="false" outlineLevel="0" collapsed="false">
      <c r="A283" s="7" t="str">
        <f aca="false">D283&amp;"-"&amp;TEXT(E283,"00")&amp;"-"&amp;H283&amp;"-"&amp;B283</f>
        <v>ICL-13-200–300-wet</v>
      </c>
      <c r="B283" s="8" t="s">
        <v>71</v>
      </c>
      <c r="C283" s="8" t="s">
        <v>72</v>
      </c>
      <c r="D283" s="8" t="s">
        <v>44</v>
      </c>
      <c r="E283" s="8" t="n">
        <v>13</v>
      </c>
      <c r="F283" s="8" t="n">
        <v>200</v>
      </c>
      <c r="G283" s="8" t="n">
        <v>300</v>
      </c>
      <c r="H283" s="7" t="str">
        <f aca="false">F283&amp;"–"&amp;G283</f>
        <v>200–300</v>
      </c>
      <c r="I283" s="12" t="n">
        <v>11.512</v>
      </c>
      <c r="J283" s="12" t="n">
        <v>0.191</v>
      </c>
      <c r="K283" s="13" t="n">
        <f aca="false">I283-J283</f>
        <v>11.321</v>
      </c>
      <c r="L283" s="14" t="n">
        <f aca="false">IF(I283=0,"",100*J283/I283)</f>
        <v>1.6591382904795</v>
      </c>
      <c r="M283" s="12" t="n">
        <v>12.534</v>
      </c>
      <c r="N283" s="12" t="n">
        <v>0.186</v>
      </c>
      <c r="O283" s="15" t="n">
        <v>0.9184</v>
      </c>
      <c r="P283" s="15" t="n">
        <v>1.0268</v>
      </c>
      <c r="Q283" s="11"/>
    </row>
    <row r="284" customFormat="false" ht="15" hidden="false" customHeight="false" outlineLevel="0" collapsed="false">
      <c r="A284" s="7" t="str">
        <f aca="false">D284&amp;"-"&amp;TEXT(E284,"00")&amp;"-"&amp;H284&amp;"-"&amp;B284</f>
        <v>ICL-14-0–100-wet</v>
      </c>
      <c r="B284" s="8" t="s">
        <v>71</v>
      </c>
      <c r="C284" s="8" t="s">
        <v>72</v>
      </c>
      <c r="D284" s="8" t="s">
        <v>44</v>
      </c>
      <c r="E284" s="8" t="n">
        <v>14</v>
      </c>
      <c r="F284" s="8" t="n">
        <v>0</v>
      </c>
      <c r="G284" s="8" t="n">
        <v>100</v>
      </c>
      <c r="H284" s="7" t="str">
        <f aca="false">F284&amp;"–"&amp;G284</f>
        <v>0–100</v>
      </c>
      <c r="I284" s="12" t="n">
        <v>13.174</v>
      </c>
      <c r="J284" s="12" t="n">
        <v>0.446</v>
      </c>
      <c r="K284" s="13" t="n">
        <f aca="false">I284-J284</f>
        <v>12.728</v>
      </c>
      <c r="L284" s="14" t="n">
        <f aca="false">IF(I284=0,"",100*J284/I284)</f>
        <v>3.38545620160923</v>
      </c>
      <c r="M284" s="12" t="n">
        <v>15.418</v>
      </c>
      <c r="N284" s="12" t="n">
        <v>0.505</v>
      </c>
      <c r="O284" s="15" t="n">
        <v>0.8545</v>
      </c>
      <c r="P284" s="15" t="n">
        <v>0.9346</v>
      </c>
      <c r="Q284" s="11" t="s">
        <v>73</v>
      </c>
    </row>
    <row r="285" customFormat="false" ht="15" hidden="false" customHeight="false" outlineLevel="0" collapsed="false">
      <c r="A285" s="7" t="str">
        <f aca="false">D285&amp;"-"&amp;TEXT(E285,"00")&amp;"-"&amp;H285&amp;"-"&amp;B285</f>
        <v>ICL-14-100–200-wet</v>
      </c>
      <c r="B285" s="8" t="s">
        <v>71</v>
      </c>
      <c r="C285" s="8" t="s">
        <v>72</v>
      </c>
      <c r="D285" s="8" t="s">
        <v>44</v>
      </c>
      <c r="E285" s="8" t="n">
        <v>14</v>
      </c>
      <c r="F285" s="8" t="n">
        <v>100</v>
      </c>
      <c r="G285" s="8" t="n">
        <v>200</v>
      </c>
      <c r="H285" s="7" t="str">
        <f aca="false">F285&amp;"–"&amp;G285</f>
        <v>100–200</v>
      </c>
      <c r="I285" s="12" t="n">
        <v>7.896</v>
      </c>
      <c r="J285" s="12" t="n">
        <v>0.139</v>
      </c>
      <c r="K285" s="13" t="n">
        <f aca="false">I285-J285</f>
        <v>7.757</v>
      </c>
      <c r="L285" s="14" t="n">
        <f aca="false">IF(I285=0,"",100*J285/I285)</f>
        <v>1.76038500506586</v>
      </c>
      <c r="M285" s="12" t="n">
        <v>9.241</v>
      </c>
      <c r="N285" s="12" t="n">
        <v>0.179</v>
      </c>
      <c r="O285" s="15" t="n">
        <v>0.8545</v>
      </c>
      <c r="P285" s="15" t="n">
        <v>0.9346</v>
      </c>
      <c r="Q285" s="11" t="s">
        <v>73</v>
      </c>
    </row>
    <row r="286" customFormat="false" ht="15" hidden="false" customHeight="false" outlineLevel="0" collapsed="false">
      <c r="A286" s="7" t="str">
        <f aca="false">D286&amp;"-"&amp;TEXT(E286,"00")&amp;"-"&amp;H286&amp;"-"&amp;B286</f>
        <v>ICL-14-200–300-wet</v>
      </c>
      <c r="B286" s="8" t="s">
        <v>71</v>
      </c>
      <c r="C286" s="8" t="s">
        <v>72</v>
      </c>
      <c r="D286" s="8" t="s">
        <v>44</v>
      </c>
      <c r="E286" s="8" t="n">
        <v>14</v>
      </c>
      <c r="F286" s="8" t="n">
        <v>200</v>
      </c>
      <c r="G286" s="8" t="n">
        <v>300</v>
      </c>
      <c r="H286" s="7" t="str">
        <f aca="false">F286&amp;"–"&amp;G286</f>
        <v>200–300</v>
      </c>
      <c r="I286" s="12" t="n">
        <v>11.695</v>
      </c>
      <c r="J286" s="12" t="n">
        <v>0.355</v>
      </c>
      <c r="K286" s="13" t="n">
        <f aca="false">I286-J286</f>
        <v>11.34</v>
      </c>
      <c r="L286" s="14" t="n">
        <f aca="false">IF(I286=0,"",100*J286/I286)</f>
        <v>3.03548525010688</v>
      </c>
      <c r="M286" s="12" t="n">
        <v>12.734</v>
      </c>
      <c r="N286" s="12" t="n">
        <v>0.345</v>
      </c>
      <c r="O286" s="15" t="n">
        <v>0.9184</v>
      </c>
      <c r="P286" s="15" t="n">
        <v>1.0268</v>
      </c>
      <c r="Q286" s="11"/>
    </row>
    <row r="287" customFormat="false" ht="15" hidden="false" customHeight="false" outlineLevel="0" collapsed="false">
      <c r="A287" s="7" t="str">
        <f aca="false">D287&amp;"-"&amp;TEXT(E287,"00")&amp;"-"&amp;H287&amp;"-"&amp;B287</f>
        <v>ICL-15-0–100-wet</v>
      </c>
      <c r="B287" s="8" t="s">
        <v>71</v>
      </c>
      <c r="C287" s="8" t="s">
        <v>72</v>
      </c>
      <c r="D287" s="8" t="s">
        <v>44</v>
      </c>
      <c r="E287" s="8" t="n">
        <v>15</v>
      </c>
      <c r="F287" s="8" t="n">
        <v>0</v>
      </c>
      <c r="G287" s="8" t="n">
        <v>100</v>
      </c>
      <c r="H287" s="7" t="str">
        <f aca="false">F287&amp;"–"&amp;G287</f>
        <v>0–100</v>
      </c>
      <c r="I287" s="12" t="n">
        <v>7.708</v>
      </c>
      <c r="J287" s="12" t="n">
        <v>0.489</v>
      </c>
      <c r="K287" s="13" t="n">
        <f aca="false">I287-J287</f>
        <v>7.219</v>
      </c>
      <c r="L287" s="14" t="n">
        <f aca="false">IF(I287=0,"",100*J287/I287)</f>
        <v>6.34405812143228</v>
      </c>
      <c r="M287" s="12" t="n">
        <v>9.021</v>
      </c>
      <c r="N287" s="12" t="n">
        <v>0.55</v>
      </c>
      <c r="O287" s="15" t="n">
        <v>0.8545</v>
      </c>
      <c r="P287" s="15" t="n">
        <v>0.9346</v>
      </c>
      <c r="Q287" s="11" t="s">
        <v>73</v>
      </c>
    </row>
    <row r="288" customFormat="false" ht="15" hidden="false" customHeight="false" outlineLevel="0" collapsed="false">
      <c r="A288" s="7" t="str">
        <f aca="false">D288&amp;"-"&amp;TEXT(E288,"00")&amp;"-"&amp;H288&amp;"-"&amp;B288</f>
        <v>ICL-15-100–200-wet</v>
      </c>
      <c r="B288" s="8" t="s">
        <v>71</v>
      </c>
      <c r="C288" s="8" t="s">
        <v>72</v>
      </c>
      <c r="D288" s="8" t="s">
        <v>44</v>
      </c>
      <c r="E288" s="8" t="n">
        <v>15</v>
      </c>
      <c r="F288" s="8" t="n">
        <v>100</v>
      </c>
      <c r="G288" s="8" t="n">
        <v>200</v>
      </c>
      <c r="H288" s="7" t="str">
        <f aca="false">F288&amp;"–"&amp;G288</f>
        <v>100–200</v>
      </c>
      <c r="I288" s="12" t="n">
        <v>7.836</v>
      </c>
      <c r="J288" s="12" t="n">
        <v>0.333</v>
      </c>
      <c r="K288" s="13" t="n">
        <f aca="false">I288-J288</f>
        <v>7.503</v>
      </c>
      <c r="L288" s="14" t="n">
        <f aca="false">IF(I288=0,"",100*J288/I288)</f>
        <v>4.24961715160796</v>
      </c>
      <c r="M288" s="12" t="n">
        <v>9.171</v>
      </c>
      <c r="N288" s="12" t="n">
        <v>0.386</v>
      </c>
      <c r="O288" s="15" t="n">
        <v>0.8545</v>
      </c>
      <c r="P288" s="15" t="n">
        <v>0.9346</v>
      </c>
      <c r="Q288" s="11" t="s">
        <v>73</v>
      </c>
    </row>
    <row r="289" customFormat="false" ht="15" hidden="false" customHeight="false" outlineLevel="0" collapsed="false">
      <c r="A289" s="7" t="str">
        <f aca="false">D289&amp;"-"&amp;TEXT(E289,"00")&amp;"-"&amp;H289&amp;"-"&amp;B289</f>
        <v>ICL-15-200–300-wet</v>
      </c>
      <c r="B289" s="8" t="s">
        <v>71</v>
      </c>
      <c r="C289" s="8" t="s">
        <v>72</v>
      </c>
      <c r="D289" s="8" t="s">
        <v>44</v>
      </c>
      <c r="E289" s="8" t="n">
        <v>15</v>
      </c>
      <c r="F289" s="8" t="n">
        <v>200</v>
      </c>
      <c r="G289" s="8" t="n">
        <v>300</v>
      </c>
      <c r="H289" s="7" t="str">
        <f aca="false">F289&amp;"–"&amp;G289</f>
        <v>200–300</v>
      </c>
      <c r="I289" s="12" t="n">
        <v>9.495</v>
      </c>
      <c r="J289" s="12" t="n">
        <v>0.259</v>
      </c>
      <c r="K289" s="13" t="n">
        <f aca="false">I289-J289</f>
        <v>9.236</v>
      </c>
      <c r="L289" s="14" t="n">
        <f aca="false">IF(I289=0,"",100*J289/I289)</f>
        <v>2.7277514481306</v>
      </c>
      <c r="M289" s="12" t="n">
        <v>10.339</v>
      </c>
      <c r="N289" s="12" t="n">
        <v>0.252</v>
      </c>
      <c r="O289" s="15" t="n">
        <v>0.9184</v>
      </c>
      <c r="P289" s="15" t="n">
        <v>1.0268</v>
      </c>
      <c r="Q289" s="11"/>
    </row>
    <row r="290" customFormat="false" ht="15" hidden="false" customHeight="false" outlineLevel="0" collapsed="false">
      <c r="A290" s="7" t="str">
        <f aca="false">D290&amp;"-"&amp;TEXT(E290,"00")&amp;"-"&amp;H290&amp;"-"&amp;B290</f>
        <v>ICL-16-0–100-wet</v>
      </c>
      <c r="B290" s="8" t="s">
        <v>71</v>
      </c>
      <c r="C290" s="8" t="s">
        <v>72</v>
      </c>
      <c r="D290" s="8" t="s">
        <v>44</v>
      </c>
      <c r="E290" s="8" t="n">
        <v>16</v>
      </c>
      <c r="F290" s="8" t="n">
        <v>0</v>
      </c>
      <c r="G290" s="8" t="n">
        <v>100</v>
      </c>
      <c r="H290" s="7" t="str">
        <f aca="false">F290&amp;"–"&amp;G290</f>
        <v>0–100</v>
      </c>
      <c r="I290" s="12" t="n">
        <v>8.629</v>
      </c>
      <c r="J290" s="12" t="n">
        <v>0.362</v>
      </c>
      <c r="K290" s="13" t="n">
        <f aca="false">I290-J290</f>
        <v>8.267</v>
      </c>
      <c r="L290" s="14" t="n">
        <f aca="false">IF(I290=0,"",100*J290/I290)</f>
        <v>4.19515586974157</v>
      </c>
      <c r="M290" s="12" t="n">
        <v>10.099</v>
      </c>
      <c r="N290" s="12" t="n">
        <v>0.415</v>
      </c>
      <c r="O290" s="15" t="n">
        <v>0.8545</v>
      </c>
      <c r="P290" s="15" t="n">
        <v>0.9346</v>
      </c>
      <c r="Q290" s="11" t="s">
        <v>73</v>
      </c>
    </row>
    <row r="291" customFormat="false" ht="15" hidden="false" customHeight="false" outlineLevel="0" collapsed="false">
      <c r="A291" s="7" t="str">
        <f aca="false">D291&amp;"-"&amp;TEXT(E291,"00")&amp;"-"&amp;H291&amp;"-"&amp;B291</f>
        <v>ICL-16-100–200-wet</v>
      </c>
      <c r="B291" s="8" t="s">
        <v>71</v>
      </c>
      <c r="C291" s="8" t="s">
        <v>72</v>
      </c>
      <c r="D291" s="8" t="s">
        <v>44</v>
      </c>
      <c r="E291" s="8" t="n">
        <v>16</v>
      </c>
      <c r="F291" s="8" t="n">
        <v>100</v>
      </c>
      <c r="G291" s="8" t="n">
        <v>200</v>
      </c>
      <c r="H291" s="7" t="str">
        <f aca="false">F291&amp;"–"&amp;G291</f>
        <v>100–200</v>
      </c>
      <c r="I291" s="12" t="n">
        <v>6.798</v>
      </c>
      <c r="J291" s="12" t="n">
        <v>0.441</v>
      </c>
      <c r="K291" s="13" t="n">
        <f aca="false">I291-J291</f>
        <v>6.357</v>
      </c>
      <c r="L291" s="14" t="n">
        <f aca="false">IF(I291=0,"",100*J291/I291)</f>
        <v>6.48720211827008</v>
      </c>
      <c r="M291" s="12" t="n">
        <v>7.956</v>
      </c>
      <c r="N291" s="12" t="n">
        <v>0.501</v>
      </c>
      <c r="O291" s="15" t="n">
        <v>0.8545</v>
      </c>
      <c r="P291" s="15" t="n">
        <v>0.9346</v>
      </c>
      <c r="Q291" s="11" t="s">
        <v>73</v>
      </c>
    </row>
    <row r="292" customFormat="false" ht="15" hidden="false" customHeight="false" outlineLevel="0" collapsed="false">
      <c r="A292" s="7" t="str">
        <f aca="false">D292&amp;"-"&amp;TEXT(E292,"00")&amp;"-"&amp;H292&amp;"-"&amp;B292</f>
        <v>ICL-16-200–300-wet</v>
      </c>
      <c r="B292" s="8" t="s">
        <v>71</v>
      </c>
      <c r="C292" s="8" t="s">
        <v>72</v>
      </c>
      <c r="D292" s="8" t="s">
        <v>44</v>
      </c>
      <c r="E292" s="8" t="n">
        <v>16</v>
      </c>
      <c r="F292" s="8" t="n">
        <v>200</v>
      </c>
      <c r="G292" s="8" t="n">
        <v>300</v>
      </c>
      <c r="H292" s="7" t="str">
        <f aca="false">F292&amp;"–"&amp;G292</f>
        <v>200–300</v>
      </c>
      <c r="I292" s="12" t="n">
        <v>12.732</v>
      </c>
      <c r="J292" s="12" t="n">
        <v>0.323</v>
      </c>
      <c r="K292" s="13" t="n">
        <f aca="false">I292-J292</f>
        <v>12.409</v>
      </c>
      <c r="L292" s="14" t="n">
        <f aca="false">IF(I292=0,"",100*J292/I292)</f>
        <v>2.53691486019479</v>
      </c>
      <c r="M292" s="12" t="n">
        <v>13.862</v>
      </c>
      <c r="N292" s="12" t="n">
        <v>0.315</v>
      </c>
      <c r="O292" s="15" t="n">
        <v>0.9184</v>
      </c>
      <c r="P292" s="15" t="n">
        <v>1.0268</v>
      </c>
      <c r="Q292" s="11"/>
    </row>
    <row r="293" customFormat="false" ht="15" hidden="false" customHeight="false" outlineLevel="0" collapsed="false">
      <c r="A293" s="7" t="str">
        <f aca="false">D293&amp;"-"&amp;TEXT(E293,"00")&amp;"-"&amp;H293&amp;"-"&amp;B293</f>
        <v>ICL-17-0–100-wet</v>
      </c>
      <c r="B293" s="8" t="s">
        <v>71</v>
      </c>
      <c r="C293" s="8" t="s">
        <v>72</v>
      </c>
      <c r="D293" s="8" t="s">
        <v>44</v>
      </c>
      <c r="E293" s="8" t="n">
        <v>17</v>
      </c>
      <c r="F293" s="8" t="n">
        <v>0</v>
      </c>
      <c r="G293" s="8" t="n">
        <v>100</v>
      </c>
      <c r="H293" s="7" t="str">
        <f aca="false">F293&amp;"–"&amp;G293</f>
        <v>0–100</v>
      </c>
      <c r="I293" s="12" t="n">
        <v>11.479</v>
      </c>
      <c r="J293" s="12" t="n">
        <v>0.278</v>
      </c>
      <c r="K293" s="13" t="n">
        <f aca="false">I293-J293</f>
        <v>11.201</v>
      </c>
      <c r="L293" s="14" t="n">
        <f aca="false">IF(I293=0,"",100*J293/I293)</f>
        <v>2.42181374684206</v>
      </c>
      <c r="M293" s="12" t="n">
        <v>13.434</v>
      </c>
      <c r="N293" s="12" t="n">
        <v>0.326</v>
      </c>
      <c r="O293" s="15" t="n">
        <v>0.8545</v>
      </c>
      <c r="P293" s="15" t="n">
        <v>0.9346</v>
      </c>
      <c r="Q293" s="11" t="s">
        <v>73</v>
      </c>
    </row>
    <row r="294" customFormat="false" ht="15" hidden="false" customHeight="false" outlineLevel="0" collapsed="false">
      <c r="A294" s="7" t="str">
        <f aca="false">D294&amp;"-"&amp;TEXT(E294,"00")&amp;"-"&amp;H294&amp;"-"&amp;B294</f>
        <v>ICL-17-100–200-wet</v>
      </c>
      <c r="B294" s="8" t="s">
        <v>71</v>
      </c>
      <c r="C294" s="8" t="s">
        <v>72</v>
      </c>
      <c r="D294" s="8" t="s">
        <v>44</v>
      </c>
      <c r="E294" s="8" t="n">
        <v>17</v>
      </c>
      <c r="F294" s="8" t="n">
        <v>100</v>
      </c>
      <c r="G294" s="8" t="n">
        <v>200</v>
      </c>
      <c r="H294" s="7" t="str">
        <f aca="false">F294&amp;"–"&amp;G294</f>
        <v>100–200</v>
      </c>
      <c r="I294" s="12" t="n">
        <v>5.612</v>
      </c>
      <c r="J294" s="12" t="n">
        <v>0</v>
      </c>
      <c r="K294" s="13" t="n">
        <f aca="false">I294-J294</f>
        <v>5.612</v>
      </c>
      <c r="L294" s="14" t="n">
        <f aca="false">IF(I294=0,"",100*J294/I294)</f>
        <v>0</v>
      </c>
      <c r="M294" s="12" t="n">
        <v>6.568</v>
      </c>
      <c r="N294" s="12" t="n">
        <v>0.505</v>
      </c>
      <c r="O294" s="15" t="n">
        <v>0.8545</v>
      </c>
      <c r="P294" s="15" t="n">
        <v>0.9346</v>
      </c>
      <c r="Q294" s="11" t="s">
        <v>74</v>
      </c>
    </row>
    <row r="295" customFormat="false" ht="15" hidden="false" customHeight="false" outlineLevel="0" collapsed="false">
      <c r="A295" s="7" t="str">
        <f aca="false">D295&amp;"-"&amp;TEXT(E295,"00")&amp;"-"&amp;H295&amp;"-"&amp;B295</f>
        <v>ICL-17-200–300-wet</v>
      </c>
      <c r="B295" s="8" t="s">
        <v>71</v>
      </c>
      <c r="C295" s="8" t="s">
        <v>72</v>
      </c>
      <c r="D295" s="8" t="s">
        <v>44</v>
      </c>
      <c r="E295" s="8" t="n">
        <v>17</v>
      </c>
      <c r="F295" s="8" t="n">
        <v>200</v>
      </c>
      <c r="G295" s="8" t="n">
        <v>300</v>
      </c>
      <c r="H295" s="7" t="str">
        <f aca="false">F295&amp;"–"&amp;G295</f>
        <v>200–300</v>
      </c>
      <c r="I295" s="12" t="n">
        <v>11.11</v>
      </c>
      <c r="J295" s="12" t="n">
        <v>0.291</v>
      </c>
      <c r="K295" s="13" t="n">
        <f aca="false">I295-J295</f>
        <v>10.819</v>
      </c>
      <c r="L295" s="14" t="n">
        <f aca="false">IF(I295=0,"",100*J295/I295)</f>
        <v>2.61926192619262</v>
      </c>
      <c r="M295" s="12" t="n">
        <v>12.097</v>
      </c>
      <c r="N295" s="12" t="n">
        <v>0.283</v>
      </c>
      <c r="O295" s="15" t="n">
        <v>0.9184</v>
      </c>
      <c r="P295" s="15" t="n">
        <v>1.0268</v>
      </c>
      <c r="Q295" s="11"/>
    </row>
    <row r="296" customFormat="false" ht="15" hidden="false" customHeight="false" outlineLevel="0" collapsed="false">
      <c r="A296" s="7" t="str">
        <f aca="false">D296&amp;"-"&amp;TEXT(E296,"00")&amp;"-"&amp;H296&amp;"-"&amp;B296</f>
        <v>ICL-18-0–100-wet</v>
      </c>
      <c r="B296" s="8" t="s">
        <v>71</v>
      </c>
      <c r="C296" s="8" t="s">
        <v>72</v>
      </c>
      <c r="D296" s="8" t="s">
        <v>44</v>
      </c>
      <c r="E296" s="8" t="n">
        <v>18</v>
      </c>
      <c r="F296" s="8" t="n">
        <v>0</v>
      </c>
      <c r="G296" s="8" t="n">
        <v>100</v>
      </c>
      <c r="H296" s="7" t="str">
        <f aca="false">F296&amp;"–"&amp;G296</f>
        <v>0–100</v>
      </c>
      <c r="I296" s="12" t="n">
        <v>8.43</v>
      </c>
      <c r="J296" s="12" t="n">
        <v>0.306</v>
      </c>
      <c r="K296" s="13" t="n">
        <f aca="false">I296-J296</f>
        <v>8.124</v>
      </c>
      <c r="L296" s="14" t="n">
        <f aca="false">IF(I296=0,"",100*J296/I296)</f>
        <v>3.62989323843416</v>
      </c>
      <c r="M296" s="12" t="n">
        <v>9.866</v>
      </c>
      <c r="N296" s="12" t="n">
        <v>0.356</v>
      </c>
      <c r="O296" s="15" t="n">
        <v>0.8545</v>
      </c>
      <c r="P296" s="15" t="n">
        <v>0.9346</v>
      </c>
      <c r="Q296" s="11" t="s">
        <v>73</v>
      </c>
    </row>
    <row r="297" customFormat="false" ht="15" hidden="false" customHeight="false" outlineLevel="0" collapsed="false">
      <c r="A297" s="7" t="str">
        <f aca="false">D297&amp;"-"&amp;TEXT(E297,"00")&amp;"-"&amp;H297&amp;"-"&amp;B297</f>
        <v>ICL-18-100–200-wet</v>
      </c>
      <c r="B297" s="8" t="s">
        <v>71</v>
      </c>
      <c r="C297" s="8" t="s">
        <v>72</v>
      </c>
      <c r="D297" s="8" t="s">
        <v>44</v>
      </c>
      <c r="E297" s="8" t="n">
        <v>18</v>
      </c>
      <c r="F297" s="8" t="n">
        <v>100</v>
      </c>
      <c r="G297" s="8" t="n">
        <v>200</v>
      </c>
      <c r="H297" s="7" t="str">
        <f aca="false">F297&amp;"–"&amp;G297</f>
        <v>100–200</v>
      </c>
      <c r="I297" s="12" t="n">
        <v>10.352</v>
      </c>
      <c r="J297" s="12" t="n">
        <v>0.195</v>
      </c>
      <c r="K297" s="13" t="n">
        <f aca="false">I297-J297</f>
        <v>10.157</v>
      </c>
      <c r="L297" s="14" t="n">
        <f aca="false">IF(I297=0,"",100*J297/I297)</f>
        <v>1.88369397217929</v>
      </c>
      <c r="M297" s="12" t="n">
        <v>12.115</v>
      </c>
      <c r="N297" s="12" t="n">
        <v>0.238</v>
      </c>
      <c r="O297" s="15" t="n">
        <v>0.8545</v>
      </c>
      <c r="P297" s="15" t="n">
        <v>0.9346</v>
      </c>
      <c r="Q297" s="11" t="s">
        <v>73</v>
      </c>
    </row>
    <row r="298" customFormat="false" ht="15" hidden="false" customHeight="false" outlineLevel="0" collapsed="false">
      <c r="A298" s="7" t="str">
        <f aca="false">D298&amp;"-"&amp;TEXT(E298,"00")&amp;"-"&amp;H298&amp;"-"&amp;B298</f>
        <v>ICL-18-200–300-wet</v>
      </c>
      <c r="B298" s="8" t="s">
        <v>71</v>
      </c>
      <c r="C298" s="8" t="s">
        <v>72</v>
      </c>
      <c r="D298" s="8" t="s">
        <v>44</v>
      </c>
      <c r="E298" s="8" t="n">
        <v>18</v>
      </c>
      <c r="F298" s="8" t="n">
        <v>200</v>
      </c>
      <c r="G298" s="8" t="n">
        <v>300</v>
      </c>
      <c r="H298" s="7" t="str">
        <f aca="false">F298&amp;"–"&amp;G298</f>
        <v>200–300</v>
      </c>
      <c r="I298" s="12" t="n">
        <v>15.619</v>
      </c>
      <c r="J298" s="12" t="n">
        <v>0.292</v>
      </c>
      <c r="K298" s="13" t="n">
        <f aca="false">I298-J298</f>
        <v>15.327</v>
      </c>
      <c r="L298" s="14" t="n">
        <f aca="false">IF(I298=0,"",100*J298/I298)</f>
        <v>1.86951789487163</v>
      </c>
      <c r="M298" s="12" t="n">
        <v>17.006</v>
      </c>
      <c r="N298" s="12" t="n">
        <v>0.284</v>
      </c>
      <c r="O298" s="15" t="n">
        <v>0.9184</v>
      </c>
      <c r="P298" s="15" t="n">
        <v>1.0268</v>
      </c>
      <c r="Q298" s="11"/>
    </row>
    <row r="299" customFormat="false" ht="15" hidden="false" customHeight="false" outlineLevel="0" collapsed="false">
      <c r="A299" s="7" t="str">
        <f aca="false">D299&amp;"-"&amp;TEXT(E299,"00")&amp;"-"&amp;H299&amp;"-"&amp;B299</f>
        <v>ICL-19-0–100-wet</v>
      </c>
      <c r="B299" s="8" t="s">
        <v>71</v>
      </c>
      <c r="C299" s="8" t="s">
        <v>72</v>
      </c>
      <c r="D299" s="8" t="s">
        <v>44</v>
      </c>
      <c r="E299" s="8" t="n">
        <v>19</v>
      </c>
      <c r="F299" s="8" t="n">
        <v>0</v>
      </c>
      <c r="G299" s="8" t="n">
        <v>100</v>
      </c>
      <c r="H299" s="7" t="str">
        <f aca="false">F299&amp;"–"&amp;G299</f>
        <v>0–100</v>
      </c>
      <c r="I299" s="12" t="n">
        <v>10.831</v>
      </c>
      <c r="J299" s="12" t="n">
        <v>0.417</v>
      </c>
      <c r="K299" s="13" t="n">
        <f aca="false">I299-J299</f>
        <v>10.414</v>
      </c>
      <c r="L299" s="14" t="n">
        <f aca="false">IF(I299=0,"",100*J299/I299)</f>
        <v>3.85006001292586</v>
      </c>
      <c r="M299" s="12" t="n">
        <v>12.676</v>
      </c>
      <c r="N299" s="12" t="n">
        <v>0.474</v>
      </c>
      <c r="O299" s="15" t="n">
        <v>0.8545</v>
      </c>
      <c r="P299" s="15" t="n">
        <v>0.9346</v>
      </c>
      <c r="Q299" s="11" t="s">
        <v>73</v>
      </c>
    </row>
    <row r="300" customFormat="false" ht="15" hidden="false" customHeight="false" outlineLevel="0" collapsed="false">
      <c r="A300" s="7" t="str">
        <f aca="false">D300&amp;"-"&amp;TEXT(E300,"00")&amp;"-"&amp;H300&amp;"-"&amp;B300</f>
        <v>ICL-19-100–200-wet</v>
      </c>
      <c r="B300" s="8" t="s">
        <v>71</v>
      </c>
      <c r="C300" s="8" t="s">
        <v>72</v>
      </c>
      <c r="D300" s="8" t="s">
        <v>44</v>
      </c>
      <c r="E300" s="8" t="n">
        <v>19</v>
      </c>
      <c r="F300" s="8" t="n">
        <v>100</v>
      </c>
      <c r="G300" s="8" t="n">
        <v>200</v>
      </c>
      <c r="H300" s="7" t="str">
        <f aca="false">F300&amp;"–"&amp;G300</f>
        <v>100–200</v>
      </c>
      <c r="I300" s="12" t="n">
        <v>11.229</v>
      </c>
      <c r="J300" s="12" t="n">
        <v>0.331</v>
      </c>
      <c r="K300" s="13" t="n">
        <f aca="false">I300-J300</f>
        <v>10.898</v>
      </c>
      <c r="L300" s="14" t="n">
        <f aca="false">IF(I300=0,"",100*J300/I300)</f>
        <v>2.94772464155312</v>
      </c>
      <c r="M300" s="12" t="n">
        <v>13.142</v>
      </c>
      <c r="N300" s="12" t="n">
        <v>0.384</v>
      </c>
      <c r="O300" s="15" t="n">
        <v>0.8545</v>
      </c>
      <c r="P300" s="15" t="n">
        <v>0.9346</v>
      </c>
      <c r="Q300" s="11" t="s">
        <v>73</v>
      </c>
    </row>
    <row r="301" customFormat="false" ht="15" hidden="false" customHeight="false" outlineLevel="0" collapsed="false">
      <c r="A301" s="7" t="str">
        <f aca="false">D301&amp;"-"&amp;TEXT(E301,"00")&amp;"-"&amp;H301&amp;"-"&amp;B301</f>
        <v>ICL-19-200–300-wet</v>
      </c>
      <c r="B301" s="8" t="s">
        <v>71</v>
      </c>
      <c r="C301" s="8" t="s">
        <v>72</v>
      </c>
      <c r="D301" s="8" t="s">
        <v>44</v>
      </c>
      <c r="E301" s="8" t="n">
        <v>19</v>
      </c>
      <c r="F301" s="8" t="n">
        <v>200</v>
      </c>
      <c r="G301" s="8" t="n">
        <v>300</v>
      </c>
      <c r="H301" s="7" t="str">
        <f aca="false">F301&amp;"–"&amp;G301</f>
        <v>200–300</v>
      </c>
      <c r="I301" s="12" t="n">
        <v>12.387</v>
      </c>
      <c r="J301" s="12" t="n">
        <v>0.577</v>
      </c>
      <c r="K301" s="13" t="n">
        <f aca="false">I301-J301</f>
        <v>11.81</v>
      </c>
      <c r="L301" s="14" t="n">
        <f aca="false">IF(I301=0,"",100*J301/I301)</f>
        <v>4.65810930814564</v>
      </c>
      <c r="M301" s="12" t="n">
        <v>13.487</v>
      </c>
      <c r="N301" s="12" t="n">
        <v>0.562</v>
      </c>
      <c r="O301" s="15" t="n">
        <v>0.9184</v>
      </c>
      <c r="P301" s="15" t="n">
        <v>1.0268</v>
      </c>
      <c r="Q301" s="11"/>
    </row>
    <row r="302" customFormat="false" ht="15" hidden="false" customHeight="false" outlineLevel="0" collapsed="false">
      <c r="A302" s="7" t="str">
        <f aca="false">D302&amp;"-"&amp;TEXT(E302,"00")&amp;"-"&amp;H302&amp;"-"&amp;B302</f>
        <v>ICL-20-0–100-wet</v>
      </c>
      <c r="B302" s="8" t="s">
        <v>71</v>
      </c>
      <c r="C302" s="8" t="s">
        <v>72</v>
      </c>
      <c r="D302" s="8" t="s">
        <v>44</v>
      </c>
      <c r="E302" s="8" t="n">
        <v>20</v>
      </c>
      <c r="F302" s="8" t="n">
        <v>0</v>
      </c>
      <c r="G302" s="8" t="n">
        <v>100</v>
      </c>
      <c r="H302" s="7" t="str">
        <f aca="false">F302&amp;"–"&amp;G302</f>
        <v>0–100</v>
      </c>
      <c r="I302" s="12" t="n">
        <v>11.741</v>
      </c>
      <c r="J302" s="12" t="n">
        <v>0.446</v>
      </c>
      <c r="K302" s="13" t="n">
        <f aca="false">I302-J302</f>
        <v>11.295</v>
      </c>
      <c r="L302" s="14" t="n">
        <f aca="false">IF(I302=0,"",100*J302/I302)</f>
        <v>3.79865428839111</v>
      </c>
      <c r="M302" s="12" t="n">
        <v>13.741</v>
      </c>
      <c r="N302" s="12" t="n">
        <v>0.505</v>
      </c>
      <c r="O302" s="15" t="n">
        <v>0.8545</v>
      </c>
      <c r="P302" s="15" t="n">
        <v>0.9346</v>
      </c>
      <c r="Q302" s="11" t="s">
        <v>73</v>
      </c>
    </row>
    <row r="303" customFormat="false" ht="15" hidden="false" customHeight="false" outlineLevel="0" collapsed="false">
      <c r="A303" s="7" t="str">
        <f aca="false">D303&amp;"-"&amp;TEXT(E303,"00")&amp;"-"&amp;H303&amp;"-"&amp;B303</f>
        <v>ICL-20-100–200-wet</v>
      </c>
      <c r="B303" s="8" t="s">
        <v>71</v>
      </c>
      <c r="C303" s="8" t="s">
        <v>72</v>
      </c>
      <c r="D303" s="8" t="s">
        <v>44</v>
      </c>
      <c r="E303" s="8" t="n">
        <v>20</v>
      </c>
      <c r="F303" s="8" t="n">
        <v>100</v>
      </c>
      <c r="G303" s="8" t="n">
        <v>200</v>
      </c>
      <c r="H303" s="7" t="str">
        <f aca="false">F303&amp;"–"&amp;G303</f>
        <v>100–200</v>
      </c>
      <c r="I303" s="12" t="n">
        <v>16.016</v>
      </c>
      <c r="J303" s="12" t="n">
        <v>0</v>
      </c>
      <c r="K303" s="13" t="n">
        <f aca="false">I303-J303</f>
        <v>16.016</v>
      </c>
      <c r="L303" s="14" t="n">
        <f aca="false">IF(I303=0,"",100*J303/I303)</f>
        <v>0</v>
      </c>
      <c r="M303" s="12" t="n">
        <v>18.744</v>
      </c>
      <c r="N303" s="12" t="n">
        <v>0.505</v>
      </c>
      <c r="O303" s="15" t="n">
        <v>0.8545</v>
      </c>
      <c r="P303" s="15" t="n">
        <v>0.9346</v>
      </c>
      <c r="Q303" s="11" t="s">
        <v>74</v>
      </c>
    </row>
    <row r="304" customFormat="false" ht="15" hidden="false" customHeight="false" outlineLevel="0" collapsed="false">
      <c r="A304" s="7" t="str">
        <f aca="false">D304&amp;"-"&amp;TEXT(E304,"00")&amp;"-"&amp;H304&amp;"-"&amp;B304</f>
        <v>ICL-20-200–300-wet</v>
      </c>
      <c r="B304" s="8" t="s">
        <v>71</v>
      </c>
      <c r="C304" s="8" t="s">
        <v>72</v>
      </c>
      <c r="D304" s="8" t="s">
        <v>44</v>
      </c>
      <c r="E304" s="8" t="n">
        <v>20</v>
      </c>
      <c r="F304" s="8" t="n">
        <v>200</v>
      </c>
      <c r="G304" s="8" t="n">
        <v>300</v>
      </c>
      <c r="H304" s="7" t="str">
        <f aca="false">F304&amp;"–"&amp;G304</f>
        <v>200–300</v>
      </c>
      <c r="I304" s="12" t="n">
        <v>12.68</v>
      </c>
      <c r="J304" s="12" t="n">
        <v>0.452</v>
      </c>
      <c r="K304" s="13" t="n">
        <f aca="false">I304-J304</f>
        <v>12.228</v>
      </c>
      <c r="L304" s="14" t="n">
        <f aca="false">IF(I304=0,"",100*J304/I304)</f>
        <v>3.56466876971609</v>
      </c>
      <c r="M304" s="12" t="n">
        <v>13.806</v>
      </c>
      <c r="N304" s="12" t="n">
        <v>0.44</v>
      </c>
      <c r="O304" s="15" t="n">
        <v>0.9184</v>
      </c>
      <c r="P304" s="15" t="n">
        <v>1.0268</v>
      </c>
      <c r="Q304" s="11"/>
    </row>
    <row r="305" customFormat="false" ht="15" hidden="false" customHeight="false" outlineLevel="0" collapsed="false">
      <c r="A305" s="7" t="str">
        <f aca="false">D305&amp;"-"&amp;TEXT(E305,"00")&amp;"-"&amp;H305&amp;"-"&amp;B305</f>
        <v>MP-01-0–100-wet</v>
      </c>
      <c r="B305" s="8" t="s">
        <v>71</v>
      </c>
      <c r="C305" s="8" t="s">
        <v>72</v>
      </c>
      <c r="D305" s="8" t="s">
        <v>48</v>
      </c>
      <c r="E305" s="8" t="n">
        <v>1</v>
      </c>
      <c r="F305" s="8" t="n">
        <v>0</v>
      </c>
      <c r="G305" s="8" t="n">
        <v>100</v>
      </c>
      <c r="H305" s="7" t="str">
        <f aca="false">F305&amp;"–"&amp;G305</f>
        <v>0–100</v>
      </c>
      <c r="I305" s="12" t="n">
        <v>10.437</v>
      </c>
      <c r="J305" s="12" t="n">
        <v>0.304</v>
      </c>
      <c r="K305" s="13" t="n">
        <f aca="false">I305-J305</f>
        <v>10.133</v>
      </c>
      <c r="L305" s="14" t="n">
        <f aca="false">IF(I305=0,"",100*J305/I305)</f>
        <v>2.91271438152726</v>
      </c>
      <c r="M305" s="12" t="n">
        <v>11.364</v>
      </c>
      <c r="N305" s="12" t="n">
        <v>0.317</v>
      </c>
      <c r="O305" s="15" t="n">
        <v>0.9184</v>
      </c>
      <c r="P305" s="15" t="n">
        <v>0.957</v>
      </c>
      <c r="Q305" s="11"/>
    </row>
    <row r="306" customFormat="false" ht="15" hidden="false" customHeight="false" outlineLevel="0" collapsed="false">
      <c r="A306" s="7" t="str">
        <f aca="false">D306&amp;"-"&amp;TEXT(E306,"00")&amp;"-"&amp;H306&amp;"-"&amp;B306</f>
        <v>MP-01-100–200-wet</v>
      </c>
      <c r="B306" s="8" t="s">
        <v>71</v>
      </c>
      <c r="C306" s="8" t="s">
        <v>72</v>
      </c>
      <c r="D306" s="8" t="s">
        <v>48</v>
      </c>
      <c r="E306" s="8" t="n">
        <v>1</v>
      </c>
      <c r="F306" s="8" t="n">
        <v>100</v>
      </c>
      <c r="G306" s="8" t="n">
        <v>200</v>
      </c>
      <c r="H306" s="7" t="str">
        <f aca="false">F306&amp;"–"&amp;G306</f>
        <v>100–200</v>
      </c>
      <c r="I306" s="12" t="n">
        <v>9.802</v>
      </c>
      <c r="J306" s="12" t="n">
        <v>0.304</v>
      </c>
      <c r="K306" s="13" t="n">
        <f aca="false">I306-J306</f>
        <v>9.498</v>
      </c>
      <c r="L306" s="14" t="n">
        <f aca="false">IF(I306=0,"",100*J306/I306)</f>
        <v>3.10140787594368</v>
      </c>
      <c r="M306" s="12" t="n">
        <v>10.549</v>
      </c>
      <c r="N306" s="12" t="n">
        <v>0.317</v>
      </c>
      <c r="O306" s="15" t="n">
        <v>0.9291</v>
      </c>
      <c r="P306" s="15" t="n">
        <v>0.957</v>
      </c>
      <c r="Q306" s="11"/>
    </row>
    <row r="307" customFormat="false" ht="15" hidden="false" customHeight="false" outlineLevel="0" collapsed="false">
      <c r="A307" s="7" t="str">
        <f aca="false">D307&amp;"-"&amp;TEXT(E307,"00")&amp;"-"&amp;H307&amp;"-"&amp;B307</f>
        <v>MP-01-200–300-wet</v>
      </c>
      <c r="B307" s="8" t="s">
        <v>71</v>
      </c>
      <c r="C307" s="8" t="s">
        <v>72</v>
      </c>
      <c r="D307" s="8" t="s">
        <v>48</v>
      </c>
      <c r="E307" s="8" t="n">
        <v>1</v>
      </c>
      <c r="F307" s="8" t="n">
        <v>200</v>
      </c>
      <c r="G307" s="8" t="n">
        <v>300</v>
      </c>
      <c r="H307" s="7" t="str">
        <f aca="false">F307&amp;"–"&amp;G307</f>
        <v>200–300</v>
      </c>
      <c r="I307" s="12" t="n">
        <v>9.239</v>
      </c>
      <c r="J307" s="12" t="n">
        <v>0.333</v>
      </c>
      <c r="K307" s="13" t="n">
        <f aca="false">I307-J307</f>
        <v>8.906</v>
      </c>
      <c r="L307" s="14" t="n">
        <f aca="false">IF(I307=0,"",100*J307/I307)</f>
        <v>3.60428617815781</v>
      </c>
      <c r="M307" s="12" t="n">
        <v>9.944</v>
      </c>
      <c r="N307" s="12" t="n">
        <v>0.348</v>
      </c>
      <c r="O307" s="15" t="n">
        <v>0.9291</v>
      </c>
      <c r="P307" s="15" t="n">
        <v>0.957</v>
      </c>
      <c r="Q307" s="11"/>
    </row>
    <row r="308" customFormat="false" ht="15" hidden="false" customHeight="false" outlineLevel="0" collapsed="false">
      <c r="A308" s="7" t="str">
        <f aca="false">D308&amp;"-"&amp;TEXT(E308,"00")&amp;"-"&amp;H308&amp;"-"&amp;B308</f>
        <v>MP-02-0–100-wet</v>
      </c>
      <c r="B308" s="8" t="s">
        <v>71</v>
      </c>
      <c r="C308" s="8" t="s">
        <v>72</v>
      </c>
      <c r="D308" s="8" t="s">
        <v>48</v>
      </c>
      <c r="E308" s="8" t="n">
        <v>2</v>
      </c>
      <c r="F308" s="8" t="n">
        <v>0</v>
      </c>
      <c r="G308" s="8" t="n">
        <v>100</v>
      </c>
      <c r="H308" s="7" t="str">
        <f aca="false">F308&amp;"–"&amp;G308</f>
        <v>0–100</v>
      </c>
      <c r="I308" s="12" t="n">
        <v>10.549</v>
      </c>
      <c r="J308" s="12" t="n">
        <v>0.273</v>
      </c>
      <c r="K308" s="13" t="n">
        <f aca="false">I308-J308</f>
        <v>10.276</v>
      </c>
      <c r="L308" s="14" t="n">
        <f aca="false">IF(I308=0,"",100*J308/I308)</f>
        <v>2.58792302587923</v>
      </c>
      <c r="M308" s="12" t="n">
        <v>11.486</v>
      </c>
      <c r="N308" s="12" t="n">
        <v>0.286</v>
      </c>
      <c r="O308" s="15" t="n">
        <v>0.9184</v>
      </c>
      <c r="P308" s="15" t="n">
        <v>0.957</v>
      </c>
      <c r="Q308" s="11"/>
    </row>
    <row r="309" customFormat="false" ht="15" hidden="false" customHeight="false" outlineLevel="0" collapsed="false">
      <c r="A309" s="7" t="str">
        <f aca="false">D309&amp;"-"&amp;TEXT(E309,"00")&amp;"-"&amp;H309&amp;"-"&amp;B309</f>
        <v>MP-02-100–200-wet</v>
      </c>
      <c r="B309" s="8" t="s">
        <v>71</v>
      </c>
      <c r="C309" s="8" t="s">
        <v>72</v>
      </c>
      <c r="D309" s="8" t="s">
        <v>48</v>
      </c>
      <c r="E309" s="8" t="n">
        <v>2</v>
      </c>
      <c r="F309" s="8" t="n">
        <v>100</v>
      </c>
      <c r="G309" s="8" t="n">
        <v>200</v>
      </c>
      <c r="H309" s="7" t="str">
        <f aca="false">F309&amp;"–"&amp;G309</f>
        <v>100–200</v>
      </c>
      <c r="I309" s="12" t="n">
        <v>8.181</v>
      </c>
      <c r="J309" s="12" t="n">
        <v>0.243</v>
      </c>
      <c r="K309" s="13" t="n">
        <f aca="false">I309-J309</f>
        <v>7.938</v>
      </c>
      <c r="L309" s="14" t="n">
        <f aca="false">IF(I309=0,"",100*J309/I309)</f>
        <v>2.97029702970297</v>
      </c>
      <c r="M309" s="12" t="n">
        <v>8.805</v>
      </c>
      <c r="N309" s="12" t="n">
        <v>0.254</v>
      </c>
      <c r="O309" s="15" t="n">
        <v>0.9291</v>
      </c>
      <c r="P309" s="15" t="n">
        <v>0.957</v>
      </c>
      <c r="Q309" s="11"/>
    </row>
    <row r="310" customFormat="false" ht="15" hidden="false" customHeight="false" outlineLevel="0" collapsed="false">
      <c r="A310" s="7" t="str">
        <f aca="false">D310&amp;"-"&amp;TEXT(E310,"00")&amp;"-"&amp;H310&amp;"-"&amp;B310</f>
        <v>MP-02-200–300-wet</v>
      </c>
      <c r="B310" s="8" t="s">
        <v>71</v>
      </c>
      <c r="C310" s="8" t="s">
        <v>72</v>
      </c>
      <c r="D310" s="8" t="s">
        <v>48</v>
      </c>
      <c r="E310" s="8" t="n">
        <v>2</v>
      </c>
      <c r="F310" s="8" t="n">
        <v>200</v>
      </c>
      <c r="G310" s="8" t="n">
        <v>300</v>
      </c>
      <c r="H310" s="7" t="str">
        <f aca="false">F310&amp;"–"&amp;G310</f>
        <v>200–300</v>
      </c>
      <c r="I310" s="12" t="n">
        <v>8.34</v>
      </c>
      <c r="J310" s="12" t="n">
        <v>0.273</v>
      </c>
      <c r="K310" s="13" t="n">
        <f aca="false">I310-J310</f>
        <v>8.067</v>
      </c>
      <c r="L310" s="14" t="n">
        <f aca="false">IF(I310=0,"",100*J310/I310)</f>
        <v>3.27338129496403</v>
      </c>
      <c r="M310" s="12" t="n">
        <v>8.977</v>
      </c>
      <c r="N310" s="12" t="n">
        <v>0.285</v>
      </c>
      <c r="O310" s="15" t="n">
        <v>0.9291</v>
      </c>
      <c r="P310" s="15" t="n">
        <v>0.957</v>
      </c>
      <c r="Q310" s="11"/>
    </row>
    <row r="311" customFormat="false" ht="15" hidden="false" customHeight="false" outlineLevel="0" collapsed="false">
      <c r="A311" s="7" t="str">
        <f aca="false">D311&amp;"-"&amp;TEXT(E311,"00")&amp;"-"&amp;H311&amp;"-"&amp;B311</f>
        <v>MP-03-0–100-wet</v>
      </c>
      <c r="B311" s="8" t="s">
        <v>71</v>
      </c>
      <c r="C311" s="8" t="s">
        <v>72</v>
      </c>
      <c r="D311" s="8" t="s">
        <v>48</v>
      </c>
      <c r="E311" s="8" t="n">
        <v>3</v>
      </c>
      <c r="F311" s="8" t="n">
        <v>0</v>
      </c>
      <c r="G311" s="8" t="n">
        <v>100</v>
      </c>
      <c r="H311" s="7" t="str">
        <f aca="false">F311&amp;"–"&amp;G311</f>
        <v>0–100</v>
      </c>
      <c r="I311" s="12" t="n">
        <v>16.197</v>
      </c>
      <c r="J311" s="12" t="n">
        <v>0.395</v>
      </c>
      <c r="K311" s="13" t="n">
        <f aca="false">I311-J311</f>
        <v>15.802</v>
      </c>
      <c r="L311" s="14" t="n">
        <f aca="false">IF(I311=0,"",100*J311/I311)</f>
        <v>2.43872322034945</v>
      </c>
      <c r="M311" s="12" t="n">
        <v>17.635</v>
      </c>
      <c r="N311" s="12" t="n">
        <v>0.413</v>
      </c>
      <c r="O311" s="15" t="n">
        <v>0.9184</v>
      </c>
      <c r="P311" s="15" t="n">
        <v>0.957</v>
      </c>
      <c r="Q311" s="11"/>
    </row>
    <row r="312" customFormat="false" ht="15" hidden="false" customHeight="false" outlineLevel="0" collapsed="false">
      <c r="A312" s="7" t="str">
        <f aca="false">D312&amp;"-"&amp;TEXT(E312,"00")&amp;"-"&amp;H312&amp;"-"&amp;B312</f>
        <v>MP-03-100–200-wet</v>
      </c>
      <c r="B312" s="8" t="s">
        <v>71</v>
      </c>
      <c r="C312" s="8" t="s">
        <v>72</v>
      </c>
      <c r="D312" s="8" t="s">
        <v>48</v>
      </c>
      <c r="E312" s="8" t="n">
        <v>3</v>
      </c>
      <c r="F312" s="8" t="n">
        <v>100</v>
      </c>
      <c r="G312" s="8" t="n">
        <v>200</v>
      </c>
      <c r="H312" s="7" t="str">
        <f aca="false">F312&amp;"–"&amp;G312</f>
        <v>100–200</v>
      </c>
      <c r="I312" s="12" t="n">
        <v>16.022</v>
      </c>
      <c r="J312" s="12" t="n">
        <v>0.273</v>
      </c>
      <c r="K312" s="13" t="n">
        <f aca="false">I312-J312</f>
        <v>15.749</v>
      </c>
      <c r="L312" s="14" t="n">
        <f aca="false">IF(I312=0,"",100*J312/I312)</f>
        <v>1.70390712769941</v>
      </c>
      <c r="M312" s="12" t="n">
        <v>17.245</v>
      </c>
      <c r="N312" s="12" t="n">
        <v>0.285</v>
      </c>
      <c r="O312" s="15" t="n">
        <v>0.9291</v>
      </c>
      <c r="P312" s="15" t="n">
        <v>0.957</v>
      </c>
      <c r="Q312" s="11"/>
    </row>
    <row r="313" customFormat="false" ht="15" hidden="false" customHeight="false" outlineLevel="0" collapsed="false">
      <c r="A313" s="7" t="str">
        <f aca="false">D313&amp;"-"&amp;TEXT(E313,"00")&amp;"-"&amp;H313&amp;"-"&amp;B313</f>
        <v>MP-03-200–300-wet</v>
      </c>
      <c r="B313" s="8" t="s">
        <v>71</v>
      </c>
      <c r="C313" s="8" t="s">
        <v>72</v>
      </c>
      <c r="D313" s="8" t="s">
        <v>48</v>
      </c>
      <c r="E313" s="8" t="n">
        <v>3</v>
      </c>
      <c r="F313" s="8" t="n">
        <v>200</v>
      </c>
      <c r="G313" s="8" t="n">
        <v>300</v>
      </c>
      <c r="H313" s="7" t="str">
        <f aca="false">F313&amp;"–"&amp;G313</f>
        <v>200–300</v>
      </c>
      <c r="I313" s="12" t="n">
        <v>13.189</v>
      </c>
      <c r="J313" s="12" t="n">
        <v>0.182</v>
      </c>
      <c r="K313" s="13" t="n">
        <f aca="false">I313-J313</f>
        <v>13.007</v>
      </c>
      <c r="L313" s="14" t="n">
        <f aca="false">IF(I313=0,"",100*J313/I313)</f>
        <v>1.37993782697703</v>
      </c>
      <c r="M313" s="12" t="n">
        <v>14.195</v>
      </c>
      <c r="N313" s="12" t="n">
        <v>0.19</v>
      </c>
      <c r="O313" s="15" t="n">
        <v>0.9291</v>
      </c>
      <c r="P313" s="15" t="n">
        <v>0.957</v>
      </c>
      <c r="Q313" s="11"/>
    </row>
    <row r="314" customFormat="false" ht="15" hidden="false" customHeight="false" outlineLevel="0" collapsed="false">
      <c r="A314" s="7" t="str">
        <f aca="false">D314&amp;"-"&amp;TEXT(E314,"00")&amp;"-"&amp;H314&amp;"-"&amp;B314</f>
        <v>MP-04-0–100-wet</v>
      </c>
      <c r="B314" s="8" t="s">
        <v>71</v>
      </c>
      <c r="C314" s="8" t="s">
        <v>72</v>
      </c>
      <c r="D314" s="8" t="s">
        <v>48</v>
      </c>
      <c r="E314" s="8" t="n">
        <v>4</v>
      </c>
      <c r="F314" s="8" t="n">
        <v>0</v>
      </c>
      <c r="G314" s="8" t="n">
        <v>100</v>
      </c>
      <c r="H314" s="7" t="str">
        <f aca="false">F314&amp;"–"&amp;G314</f>
        <v>0–100</v>
      </c>
      <c r="I314" s="12" t="n">
        <v>12.89</v>
      </c>
      <c r="J314" s="12" t="n">
        <v>0.365</v>
      </c>
      <c r="K314" s="13" t="n">
        <f aca="false">I314-J314</f>
        <v>12.525</v>
      </c>
      <c r="L314" s="14" t="n">
        <f aca="false">IF(I314=0,"",100*J314/I314)</f>
        <v>2.83165244375485</v>
      </c>
      <c r="M314" s="12" t="n">
        <v>14.035</v>
      </c>
      <c r="N314" s="12" t="n">
        <v>0.381</v>
      </c>
      <c r="O314" s="15" t="n">
        <v>0.9184</v>
      </c>
      <c r="P314" s="15" t="n">
        <v>0.957</v>
      </c>
      <c r="Q314" s="11"/>
    </row>
    <row r="315" customFormat="false" ht="15" hidden="false" customHeight="false" outlineLevel="0" collapsed="false">
      <c r="A315" s="7" t="str">
        <f aca="false">D315&amp;"-"&amp;TEXT(E315,"00")&amp;"-"&amp;H315&amp;"-"&amp;B315</f>
        <v>MP-04-100–200-wet</v>
      </c>
      <c r="B315" s="8" t="s">
        <v>71</v>
      </c>
      <c r="C315" s="8" t="s">
        <v>72</v>
      </c>
      <c r="D315" s="8" t="s">
        <v>48</v>
      </c>
      <c r="E315" s="8" t="n">
        <v>4</v>
      </c>
      <c r="F315" s="8" t="n">
        <v>100</v>
      </c>
      <c r="G315" s="8" t="n">
        <v>200</v>
      </c>
      <c r="H315" s="7" t="str">
        <f aca="false">F315&amp;"–"&amp;G315</f>
        <v>100–200</v>
      </c>
      <c r="I315" s="12" t="n">
        <v>11.141</v>
      </c>
      <c r="J315" s="12" t="n">
        <v>0.212</v>
      </c>
      <c r="K315" s="13" t="n">
        <f aca="false">I315-J315</f>
        <v>10.929</v>
      </c>
      <c r="L315" s="14" t="n">
        <f aca="false">IF(I315=0,"",100*J315/I315)</f>
        <v>1.90288124943901</v>
      </c>
      <c r="M315" s="12" t="n">
        <v>11.991</v>
      </c>
      <c r="N315" s="12" t="n">
        <v>0.222</v>
      </c>
      <c r="O315" s="15" t="n">
        <v>0.9291</v>
      </c>
      <c r="P315" s="15" t="n">
        <v>0.957</v>
      </c>
      <c r="Q315" s="11"/>
    </row>
    <row r="316" customFormat="false" ht="15" hidden="false" customHeight="false" outlineLevel="0" collapsed="false">
      <c r="A316" s="7" t="str">
        <f aca="false">D316&amp;"-"&amp;TEXT(E316,"00")&amp;"-"&amp;H316&amp;"-"&amp;B316</f>
        <v>MP-04-200–300-wet</v>
      </c>
      <c r="B316" s="8" t="s">
        <v>71</v>
      </c>
      <c r="C316" s="8" t="s">
        <v>72</v>
      </c>
      <c r="D316" s="8" t="s">
        <v>48</v>
      </c>
      <c r="E316" s="8" t="n">
        <v>4</v>
      </c>
      <c r="F316" s="8" t="n">
        <v>200</v>
      </c>
      <c r="G316" s="8" t="n">
        <v>300</v>
      </c>
      <c r="H316" s="7" t="str">
        <f aca="false">F316&amp;"–"&amp;G316</f>
        <v>200–300</v>
      </c>
      <c r="I316" s="12" t="n">
        <v>8.922</v>
      </c>
      <c r="J316" s="12" t="n">
        <v>0.242</v>
      </c>
      <c r="K316" s="13" t="n">
        <f aca="false">I316-J316</f>
        <v>8.68</v>
      </c>
      <c r="L316" s="14" t="n">
        <f aca="false">IF(I316=0,"",100*J316/I316)</f>
        <v>2.71239632369424</v>
      </c>
      <c r="M316" s="12" t="n">
        <v>9.603</v>
      </c>
      <c r="N316" s="12" t="n">
        <v>0.253</v>
      </c>
      <c r="O316" s="15" t="n">
        <v>0.9291</v>
      </c>
      <c r="P316" s="15" t="n">
        <v>0.957</v>
      </c>
      <c r="Q316" s="11"/>
    </row>
    <row r="317" customFormat="false" ht="15" hidden="false" customHeight="false" outlineLevel="0" collapsed="false">
      <c r="A317" s="7" t="str">
        <f aca="false">D317&amp;"-"&amp;TEXT(E317,"00")&amp;"-"&amp;H317&amp;"-"&amp;B317</f>
        <v>MP-05-0–100-wet</v>
      </c>
      <c r="B317" s="8" t="s">
        <v>71</v>
      </c>
      <c r="C317" s="8" t="s">
        <v>72</v>
      </c>
      <c r="D317" s="8" t="s">
        <v>48</v>
      </c>
      <c r="E317" s="8" t="n">
        <v>5</v>
      </c>
      <c r="F317" s="8" t="n">
        <v>0</v>
      </c>
      <c r="G317" s="8" t="n">
        <v>100</v>
      </c>
      <c r="H317" s="7" t="str">
        <f aca="false">F317&amp;"–"&amp;G317</f>
        <v>0–100</v>
      </c>
      <c r="I317" s="12" t="n">
        <v>11.755</v>
      </c>
      <c r="J317" s="12" t="n">
        <v>0.425</v>
      </c>
      <c r="K317" s="13" t="n">
        <f aca="false">I317-J317</f>
        <v>11.33</v>
      </c>
      <c r="L317" s="14" t="n">
        <f aca="false">IF(I317=0,"",100*J317/I317)</f>
        <v>3.61548277328796</v>
      </c>
      <c r="M317" s="12" t="n">
        <v>12.799</v>
      </c>
      <c r="N317" s="12" t="n">
        <v>0.444</v>
      </c>
      <c r="O317" s="15" t="n">
        <v>0.9184</v>
      </c>
      <c r="P317" s="15" t="n">
        <v>0.957</v>
      </c>
      <c r="Q317" s="11"/>
    </row>
    <row r="318" customFormat="false" ht="15" hidden="false" customHeight="false" outlineLevel="0" collapsed="false">
      <c r="A318" s="7" t="str">
        <f aca="false">D318&amp;"-"&amp;TEXT(E318,"00")&amp;"-"&amp;H318&amp;"-"&amp;B318</f>
        <v>MP-05-100–200-wet</v>
      </c>
      <c r="B318" s="8" t="s">
        <v>71</v>
      </c>
      <c r="C318" s="8" t="s">
        <v>72</v>
      </c>
      <c r="D318" s="8" t="s">
        <v>48</v>
      </c>
      <c r="E318" s="8" t="n">
        <v>5</v>
      </c>
      <c r="F318" s="8" t="n">
        <v>100</v>
      </c>
      <c r="G318" s="8" t="n">
        <v>200</v>
      </c>
      <c r="H318" s="7" t="str">
        <f aca="false">F318&amp;"–"&amp;G318</f>
        <v>100–200</v>
      </c>
      <c r="I318" s="12" t="n">
        <v>9.956</v>
      </c>
      <c r="J318" s="12" t="n">
        <v>0.365</v>
      </c>
      <c r="K318" s="13" t="n">
        <f aca="false">I318-J318</f>
        <v>9.591</v>
      </c>
      <c r="L318" s="14" t="n">
        <f aca="false">IF(I318=0,"",100*J318/I318)</f>
        <v>3.6661309762957</v>
      </c>
      <c r="M318" s="12" t="n">
        <v>10.716</v>
      </c>
      <c r="N318" s="12" t="n">
        <v>0.381</v>
      </c>
      <c r="O318" s="15" t="n">
        <v>0.9291</v>
      </c>
      <c r="P318" s="15" t="n">
        <v>0.957</v>
      </c>
      <c r="Q318" s="11"/>
    </row>
    <row r="319" customFormat="false" ht="15" hidden="false" customHeight="false" outlineLevel="0" collapsed="false">
      <c r="A319" s="7" t="str">
        <f aca="false">D319&amp;"-"&amp;TEXT(E319,"00")&amp;"-"&amp;H319&amp;"-"&amp;B319</f>
        <v>MP-05-200–300-wet</v>
      </c>
      <c r="B319" s="8" t="s">
        <v>71</v>
      </c>
      <c r="C319" s="8" t="s">
        <v>72</v>
      </c>
      <c r="D319" s="8" t="s">
        <v>48</v>
      </c>
      <c r="E319" s="8" t="n">
        <v>5</v>
      </c>
      <c r="F319" s="8" t="n">
        <v>200</v>
      </c>
      <c r="G319" s="8" t="n">
        <v>300</v>
      </c>
      <c r="H319" s="7" t="str">
        <f aca="false">F319&amp;"–"&amp;G319</f>
        <v>200–300</v>
      </c>
      <c r="I319" s="12" t="n">
        <v>10.731</v>
      </c>
      <c r="J319" s="12" t="n">
        <v>0.302</v>
      </c>
      <c r="K319" s="13" t="n">
        <f aca="false">I319-J319</f>
        <v>10.429</v>
      </c>
      <c r="L319" s="14" t="n">
        <f aca="false">IF(I319=0,"",100*J319/I319)</f>
        <v>2.8142763954897</v>
      </c>
      <c r="M319" s="12" t="n">
        <v>11.55</v>
      </c>
      <c r="N319" s="12" t="n">
        <v>0.316</v>
      </c>
      <c r="O319" s="15" t="n">
        <v>0.9291</v>
      </c>
      <c r="P319" s="15" t="n">
        <v>0.957</v>
      </c>
      <c r="Q319" s="11"/>
    </row>
    <row r="320" customFormat="false" ht="15" hidden="false" customHeight="false" outlineLevel="0" collapsed="false">
      <c r="A320" s="7" t="str">
        <f aca="false">D320&amp;"-"&amp;TEXT(E320,"00")&amp;"-"&amp;H320&amp;"-"&amp;B320</f>
        <v>MP-06-0–100-wet</v>
      </c>
      <c r="B320" s="8" t="s">
        <v>71</v>
      </c>
      <c r="C320" s="8" t="s">
        <v>72</v>
      </c>
      <c r="D320" s="8" t="s">
        <v>48</v>
      </c>
      <c r="E320" s="8" t="n">
        <v>6</v>
      </c>
      <c r="F320" s="8" t="n">
        <v>0</v>
      </c>
      <c r="G320" s="8" t="n">
        <v>100</v>
      </c>
      <c r="H320" s="7" t="str">
        <f aca="false">F320&amp;"–"&amp;G320</f>
        <v>0–100</v>
      </c>
      <c r="I320" s="12" t="n">
        <v>20.032</v>
      </c>
      <c r="J320" s="12" t="n">
        <v>0.243</v>
      </c>
      <c r="K320" s="13" t="n">
        <f aca="false">I320-J320</f>
        <v>19.789</v>
      </c>
      <c r="L320" s="14" t="n">
        <f aca="false">IF(I320=0,"",100*J320/I320)</f>
        <v>1.21305910543131</v>
      </c>
      <c r="M320" s="12" t="n">
        <v>21.811</v>
      </c>
      <c r="N320" s="12" t="n">
        <v>0.254</v>
      </c>
      <c r="O320" s="15" t="n">
        <v>0.9184</v>
      </c>
      <c r="P320" s="15" t="n">
        <v>0.957</v>
      </c>
      <c r="Q320" s="11"/>
    </row>
    <row r="321" customFormat="false" ht="15" hidden="false" customHeight="false" outlineLevel="0" collapsed="false">
      <c r="A321" s="7" t="str">
        <f aca="false">D321&amp;"-"&amp;TEXT(E321,"00")&amp;"-"&amp;H321&amp;"-"&amp;B321</f>
        <v>MP-06-100–200-wet</v>
      </c>
      <c r="B321" s="8" t="s">
        <v>71</v>
      </c>
      <c r="C321" s="8" t="s">
        <v>72</v>
      </c>
      <c r="D321" s="8" t="s">
        <v>48</v>
      </c>
      <c r="E321" s="8" t="n">
        <v>6</v>
      </c>
      <c r="F321" s="8" t="n">
        <v>100</v>
      </c>
      <c r="G321" s="8" t="n">
        <v>200</v>
      </c>
      <c r="H321" s="7" t="str">
        <f aca="false">F321&amp;"–"&amp;G321</f>
        <v>100–200</v>
      </c>
      <c r="I321" s="12" t="n">
        <v>10.512</v>
      </c>
      <c r="J321" s="12" t="n">
        <v>0.302</v>
      </c>
      <c r="K321" s="13" t="n">
        <f aca="false">I321-J321</f>
        <v>10.21</v>
      </c>
      <c r="L321" s="14" t="n">
        <f aca="false">IF(I321=0,"",100*J321/I321)</f>
        <v>2.87290715372907</v>
      </c>
      <c r="M321" s="12" t="n">
        <v>11.314</v>
      </c>
      <c r="N321" s="12" t="n">
        <v>0.316</v>
      </c>
      <c r="O321" s="15" t="n">
        <v>0.9291</v>
      </c>
      <c r="P321" s="15" t="n">
        <v>0.957</v>
      </c>
      <c r="Q321" s="11"/>
    </row>
    <row r="322" customFormat="false" ht="15" hidden="false" customHeight="false" outlineLevel="0" collapsed="false">
      <c r="A322" s="7" t="str">
        <f aca="false">D322&amp;"-"&amp;TEXT(E322,"00")&amp;"-"&amp;H322&amp;"-"&amp;B322</f>
        <v>MP-06-200–300-wet</v>
      </c>
      <c r="B322" s="8" t="s">
        <v>71</v>
      </c>
      <c r="C322" s="8" t="s">
        <v>72</v>
      </c>
      <c r="D322" s="8" t="s">
        <v>48</v>
      </c>
      <c r="E322" s="8" t="n">
        <v>6</v>
      </c>
      <c r="F322" s="8" t="n">
        <v>200</v>
      </c>
      <c r="G322" s="8" t="n">
        <v>300</v>
      </c>
      <c r="H322" s="7" t="str">
        <f aca="false">F322&amp;"–"&amp;G322</f>
        <v>200–300</v>
      </c>
      <c r="I322" s="12" t="n">
        <v>6.948</v>
      </c>
      <c r="J322" s="12" t="n">
        <v>0.302</v>
      </c>
      <c r="K322" s="13" t="n">
        <f aca="false">I322-J322</f>
        <v>6.646</v>
      </c>
      <c r="L322" s="14" t="n">
        <f aca="false">IF(I322=0,"",100*J322/I322)</f>
        <v>4.34657455382844</v>
      </c>
      <c r="M322" s="12" t="n">
        <v>7.478</v>
      </c>
      <c r="N322" s="12" t="n">
        <v>0.316</v>
      </c>
      <c r="O322" s="15" t="n">
        <v>0.9291</v>
      </c>
      <c r="P322" s="15" t="n">
        <v>0.957</v>
      </c>
      <c r="Q322" s="11"/>
    </row>
    <row r="323" customFormat="false" ht="15" hidden="false" customHeight="false" outlineLevel="0" collapsed="false">
      <c r="A323" s="7" t="str">
        <f aca="false">D323&amp;"-"&amp;TEXT(E323,"00")&amp;"-"&amp;H323&amp;"-"&amp;B323</f>
        <v>MP-07-0–100-wet</v>
      </c>
      <c r="B323" s="8" t="s">
        <v>71</v>
      </c>
      <c r="C323" s="8" t="s">
        <v>72</v>
      </c>
      <c r="D323" s="8" t="s">
        <v>48</v>
      </c>
      <c r="E323" s="8" t="n">
        <v>7</v>
      </c>
      <c r="F323" s="8" t="n">
        <v>0</v>
      </c>
      <c r="G323" s="8" t="n">
        <v>100</v>
      </c>
      <c r="H323" s="7" t="str">
        <f aca="false">F323&amp;"–"&amp;G323</f>
        <v>0–100</v>
      </c>
      <c r="I323" s="12" t="n">
        <v>13.354</v>
      </c>
      <c r="J323" s="12" t="n">
        <v>0.333</v>
      </c>
      <c r="K323" s="13" t="n">
        <f aca="false">I323-J323</f>
        <v>13.021</v>
      </c>
      <c r="L323" s="14" t="n">
        <f aca="false">IF(I323=0,"",100*J323/I323)</f>
        <v>2.49363486595777</v>
      </c>
      <c r="M323" s="12" t="n">
        <v>14.54</v>
      </c>
      <c r="N323" s="12" t="n">
        <v>0.348</v>
      </c>
      <c r="O323" s="15" t="n">
        <v>0.9184</v>
      </c>
      <c r="P323" s="15" t="n">
        <v>0.957</v>
      </c>
      <c r="Q323" s="11"/>
    </row>
    <row r="324" customFormat="false" ht="15" hidden="false" customHeight="false" outlineLevel="0" collapsed="false">
      <c r="A324" s="7" t="str">
        <f aca="false">D324&amp;"-"&amp;TEXT(E324,"00")&amp;"-"&amp;H324&amp;"-"&amp;B324</f>
        <v>MP-07-100–200-wet</v>
      </c>
      <c r="B324" s="8" t="s">
        <v>71</v>
      </c>
      <c r="C324" s="8" t="s">
        <v>72</v>
      </c>
      <c r="D324" s="8" t="s">
        <v>48</v>
      </c>
      <c r="E324" s="8" t="n">
        <v>7</v>
      </c>
      <c r="F324" s="8" t="n">
        <v>100</v>
      </c>
      <c r="G324" s="8" t="n">
        <v>200</v>
      </c>
      <c r="H324" s="7" t="str">
        <f aca="false">F324&amp;"–"&amp;G324</f>
        <v>100–200</v>
      </c>
      <c r="I324" s="12" t="n">
        <v>12.957</v>
      </c>
      <c r="J324" s="12" t="n">
        <v>0.152</v>
      </c>
      <c r="K324" s="13" t="n">
        <f aca="false">I324-J324</f>
        <v>12.805</v>
      </c>
      <c r="L324" s="14" t="n">
        <f aca="false">IF(I324=0,"",100*J324/I324)</f>
        <v>1.17311105965887</v>
      </c>
      <c r="M324" s="12" t="n">
        <v>13.945</v>
      </c>
      <c r="N324" s="12" t="n">
        <v>0.159</v>
      </c>
      <c r="O324" s="15" t="n">
        <v>0.9291</v>
      </c>
      <c r="P324" s="15" t="n">
        <v>0.957</v>
      </c>
      <c r="Q324" s="11"/>
    </row>
    <row r="325" customFormat="false" ht="15" hidden="false" customHeight="false" outlineLevel="0" collapsed="false">
      <c r="A325" s="7" t="str">
        <f aca="false">D325&amp;"-"&amp;TEXT(E325,"00")&amp;"-"&amp;H325&amp;"-"&amp;B325</f>
        <v>MP-07-200–300-wet</v>
      </c>
      <c r="B325" s="8" t="s">
        <v>71</v>
      </c>
      <c r="C325" s="8" t="s">
        <v>72</v>
      </c>
      <c r="D325" s="8" t="s">
        <v>48</v>
      </c>
      <c r="E325" s="8" t="n">
        <v>7</v>
      </c>
      <c r="F325" s="8" t="n">
        <v>200</v>
      </c>
      <c r="G325" s="8" t="n">
        <v>300</v>
      </c>
      <c r="H325" s="7" t="str">
        <f aca="false">F325&amp;"–"&amp;G325</f>
        <v>200–300</v>
      </c>
      <c r="I325" s="12" t="n">
        <v>12.11</v>
      </c>
      <c r="J325" s="12" t="n">
        <v>0.272</v>
      </c>
      <c r="K325" s="13" t="n">
        <f aca="false">I325-J325</f>
        <v>11.838</v>
      </c>
      <c r="L325" s="14" t="n">
        <f aca="false">IF(I325=0,"",100*J325/I325)</f>
        <v>2.24607762180017</v>
      </c>
      <c r="M325" s="12" t="n">
        <v>13.034</v>
      </c>
      <c r="N325" s="12" t="n">
        <v>0.284</v>
      </c>
      <c r="O325" s="15" t="n">
        <v>0.9291</v>
      </c>
      <c r="P325" s="15" t="n">
        <v>0.957</v>
      </c>
      <c r="Q325" s="11"/>
    </row>
    <row r="326" customFormat="false" ht="15" hidden="false" customHeight="false" outlineLevel="0" collapsed="false">
      <c r="A326" s="7" t="str">
        <f aca="false">D326&amp;"-"&amp;TEXT(E326,"00")&amp;"-"&amp;H326&amp;"-"&amp;B326</f>
        <v>MP-08-0–100-wet</v>
      </c>
      <c r="B326" s="8" t="s">
        <v>71</v>
      </c>
      <c r="C326" s="8" t="s">
        <v>72</v>
      </c>
      <c r="D326" s="8" t="s">
        <v>48</v>
      </c>
      <c r="E326" s="8" t="n">
        <v>8</v>
      </c>
      <c r="F326" s="8" t="n">
        <v>0</v>
      </c>
      <c r="G326" s="8" t="n">
        <v>100</v>
      </c>
      <c r="H326" s="7" t="str">
        <f aca="false">F326&amp;"–"&amp;G326</f>
        <v>0–100</v>
      </c>
      <c r="I326" s="12" t="n">
        <v>10.427</v>
      </c>
      <c r="J326" s="12" t="n">
        <v>0.212</v>
      </c>
      <c r="K326" s="13" t="n">
        <f aca="false">I326-J326</f>
        <v>10.215</v>
      </c>
      <c r="L326" s="14" t="n">
        <f aca="false">IF(I326=0,"",100*J326/I326)</f>
        <v>2.03318308238228</v>
      </c>
      <c r="M326" s="12" t="n">
        <v>11.353</v>
      </c>
      <c r="N326" s="12" t="n">
        <v>0.222</v>
      </c>
      <c r="O326" s="15" t="n">
        <v>0.9184</v>
      </c>
      <c r="P326" s="15" t="n">
        <v>0.957</v>
      </c>
      <c r="Q326" s="11"/>
    </row>
    <row r="327" customFormat="false" ht="15" hidden="false" customHeight="false" outlineLevel="0" collapsed="false">
      <c r="A327" s="7" t="str">
        <f aca="false">D327&amp;"-"&amp;TEXT(E327,"00")&amp;"-"&amp;H327&amp;"-"&amp;B327</f>
        <v>MP-08-100–200-wet</v>
      </c>
      <c r="B327" s="8" t="s">
        <v>71</v>
      </c>
      <c r="C327" s="8" t="s">
        <v>72</v>
      </c>
      <c r="D327" s="8" t="s">
        <v>48</v>
      </c>
      <c r="E327" s="8" t="n">
        <v>8</v>
      </c>
      <c r="F327" s="8" t="n">
        <v>100</v>
      </c>
      <c r="G327" s="8" t="n">
        <v>200</v>
      </c>
      <c r="H327" s="7" t="str">
        <f aca="false">F327&amp;"–"&amp;G327</f>
        <v>100–200</v>
      </c>
      <c r="I327" s="12" t="n">
        <v>9.663</v>
      </c>
      <c r="J327" s="12" t="n">
        <v>0.242</v>
      </c>
      <c r="K327" s="13" t="n">
        <f aca="false">I327-J327</f>
        <v>9.421</v>
      </c>
      <c r="L327" s="14" t="n">
        <f aca="false">IF(I327=0,"",100*J327/I327)</f>
        <v>2.50439822001449</v>
      </c>
      <c r="M327" s="12" t="n">
        <v>10.4</v>
      </c>
      <c r="N327" s="12" t="n">
        <v>0.253</v>
      </c>
      <c r="O327" s="15" t="n">
        <v>0.9291</v>
      </c>
      <c r="P327" s="15" t="n">
        <v>0.957</v>
      </c>
      <c r="Q327" s="11"/>
    </row>
    <row r="328" customFormat="false" ht="15" hidden="false" customHeight="false" outlineLevel="0" collapsed="false">
      <c r="A328" s="7" t="str">
        <f aca="false">D328&amp;"-"&amp;TEXT(E328,"00")&amp;"-"&amp;H328&amp;"-"&amp;B328</f>
        <v>MP-08-200–300-wet</v>
      </c>
      <c r="B328" s="8" t="s">
        <v>71</v>
      </c>
      <c r="C328" s="8" t="s">
        <v>72</v>
      </c>
      <c r="D328" s="8" t="s">
        <v>48</v>
      </c>
      <c r="E328" s="8" t="n">
        <v>8</v>
      </c>
      <c r="F328" s="8" t="n">
        <v>200</v>
      </c>
      <c r="G328" s="8" t="n">
        <v>300</v>
      </c>
      <c r="H328" s="7" t="str">
        <f aca="false">F328&amp;"–"&amp;G328</f>
        <v>200–300</v>
      </c>
      <c r="I328" s="12" t="n">
        <v>8.329</v>
      </c>
      <c r="J328" s="12" t="n">
        <v>0.271</v>
      </c>
      <c r="K328" s="13" t="n">
        <f aca="false">I328-J328</f>
        <v>8.058</v>
      </c>
      <c r="L328" s="14" t="n">
        <f aca="false">IF(I328=0,"",100*J328/I328)</f>
        <v>3.2536919197983</v>
      </c>
      <c r="M328" s="12" t="n">
        <v>8.964</v>
      </c>
      <c r="N328" s="12" t="n">
        <v>0.283</v>
      </c>
      <c r="O328" s="15" t="n">
        <v>0.9291</v>
      </c>
      <c r="P328" s="15" t="n">
        <v>0.957</v>
      </c>
      <c r="Q328" s="11"/>
    </row>
    <row r="329" customFormat="false" ht="15" hidden="false" customHeight="false" outlineLevel="0" collapsed="false">
      <c r="A329" s="7" t="str">
        <f aca="false">D329&amp;"-"&amp;TEXT(E329,"00")&amp;"-"&amp;H329&amp;"-"&amp;B329</f>
        <v>MP-09-0–100-wet</v>
      </c>
      <c r="B329" s="8" t="s">
        <v>71</v>
      </c>
      <c r="C329" s="8" t="s">
        <v>72</v>
      </c>
      <c r="D329" s="8" t="s">
        <v>48</v>
      </c>
      <c r="E329" s="8" t="n">
        <v>9</v>
      </c>
      <c r="F329" s="8" t="n">
        <v>0</v>
      </c>
      <c r="G329" s="8" t="n">
        <v>100</v>
      </c>
      <c r="H329" s="7" t="str">
        <f aca="false">F329&amp;"–"&amp;G329</f>
        <v>0–100</v>
      </c>
      <c r="I329" s="12" t="n">
        <v>13.435</v>
      </c>
      <c r="J329" s="12" t="n">
        <v>0.363</v>
      </c>
      <c r="K329" s="13" t="n">
        <f aca="false">I329-J329</f>
        <v>13.072</v>
      </c>
      <c r="L329" s="14" t="n">
        <f aca="false">IF(I329=0,"",100*J329/I329)</f>
        <v>2.70189802754001</v>
      </c>
      <c r="M329" s="12" t="n">
        <v>14.629</v>
      </c>
      <c r="N329" s="12" t="n">
        <v>0.38</v>
      </c>
      <c r="O329" s="15" t="n">
        <v>0.9184</v>
      </c>
      <c r="P329" s="15" t="n">
        <v>0.957</v>
      </c>
      <c r="Q329" s="11"/>
    </row>
    <row r="330" customFormat="false" ht="15" hidden="false" customHeight="false" outlineLevel="0" collapsed="false">
      <c r="A330" s="7" t="str">
        <f aca="false">D330&amp;"-"&amp;TEXT(E330,"00")&amp;"-"&amp;H330&amp;"-"&amp;B330</f>
        <v>MP-09-100–200-wet</v>
      </c>
      <c r="B330" s="8" t="s">
        <v>71</v>
      </c>
      <c r="C330" s="8" t="s">
        <v>72</v>
      </c>
      <c r="D330" s="8" t="s">
        <v>48</v>
      </c>
      <c r="E330" s="8" t="n">
        <v>9</v>
      </c>
      <c r="F330" s="8" t="n">
        <v>100</v>
      </c>
      <c r="G330" s="8" t="n">
        <v>200</v>
      </c>
      <c r="H330" s="7" t="str">
        <f aca="false">F330&amp;"–"&amp;G330</f>
        <v>100–200</v>
      </c>
      <c r="I330" s="12" t="n">
        <v>10.697</v>
      </c>
      <c r="J330" s="12" t="n">
        <v>0.274</v>
      </c>
      <c r="K330" s="13" t="n">
        <f aca="false">I330-J330</f>
        <v>10.423</v>
      </c>
      <c r="L330" s="14" t="n">
        <f aca="false">IF(I330=0,"",100*J330/I330)</f>
        <v>2.56146583154155</v>
      </c>
      <c r="M330" s="12" t="n">
        <v>11.513</v>
      </c>
      <c r="N330" s="12" t="n">
        <v>0.286</v>
      </c>
      <c r="O330" s="15" t="n">
        <v>0.9291</v>
      </c>
      <c r="P330" s="15" t="n">
        <v>0.957</v>
      </c>
      <c r="Q330" s="11"/>
    </row>
    <row r="331" customFormat="false" ht="15" hidden="false" customHeight="false" outlineLevel="0" collapsed="false">
      <c r="A331" s="7" t="str">
        <f aca="false">D331&amp;"-"&amp;TEXT(E331,"00")&amp;"-"&amp;H331&amp;"-"&amp;B331</f>
        <v>MP-09-200–300-wet</v>
      </c>
      <c r="B331" s="8" t="s">
        <v>71</v>
      </c>
      <c r="C331" s="8" t="s">
        <v>72</v>
      </c>
      <c r="D331" s="8" t="s">
        <v>48</v>
      </c>
      <c r="E331" s="8" t="n">
        <v>9</v>
      </c>
      <c r="F331" s="8" t="n">
        <v>200</v>
      </c>
      <c r="G331" s="8" t="n">
        <v>300</v>
      </c>
      <c r="H331" s="7" t="str">
        <f aca="false">F331&amp;"–"&amp;G331</f>
        <v>200–300</v>
      </c>
      <c r="I331" s="12" t="n">
        <v>9.776</v>
      </c>
      <c r="J331" s="12" t="n">
        <v>0.302</v>
      </c>
      <c r="K331" s="13" t="n">
        <f aca="false">I331-J331</f>
        <v>9.474</v>
      </c>
      <c r="L331" s="14" t="n">
        <f aca="false">IF(I331=0,"",100*J331/I331)</f>
        <v>3.08919803600655</v>
      </c>
      <c r="M331" s="12" t="n">
        <v>10.522</v>
      </c>
      <c r="N331" s="12" t="n">
        <v>0.316</v>
      </c>
      <c r="O331" s="15" t="n">
        <v>0.9291</v>
      </c>
      <c r="P331" s="15" t="n">
        <v>0.957</v>
      </c>
      <c r="Q331" s="11"/>
    </row>
    <row r="332" customFormat="false" ht="15" hidden="false" customHeight="false" outlineLevel="0" collapsed="false">
      <c r="A332" s="7" t="str">
        <f aca="false">D332&amp;"-"&amp;TEXT(E332,"00")&amp;"-"&amp;H332&amp;"-"&amp;B332</f>
        <v>MP-10-0–100-wet</v>
      </c>
      <c r="B332" s="8" t="s">
        <v>71</v>
      </c>
      <c r="C332" s="8" t="s">
        <v>72</v>
      </c>
      <c r="D332" s="8" t="s">
        <v>48</v>
      </c>
      <c r="E332" s="8" t="n">
        <v>10</v>
      </c>
      <c r="F332" s="8" t="n">
        <v>0</v>
      </c>
      <c r="G332" s="8" t="n">
        <v>100</v>
      </c>
      <c r="H332" s="7" t="str">
        <f aca="false">F332&amp;"–"&amp;G332</f>
        <v>0–100</v>
      </c>
      <c r="I332" s="12" t="n">
        <v>13.783</v>
      </c>
      <c r="J332" s="12" t="n">
        <v>0.395</v>
      </c>
      <c r="K332" s="13" t="n">
        <f aca="false">I332-J332</f>
        <v>13.388</v>
      </c>
      <c r="L332" s="14" t="n">
        <f aca="false">IF(I332=0,"",100*J332/I332)</f>
        <v>2.86584923456432</v>
      </c>
      <c r="M332" s="12" t="n">
        <v>15.007</v>
      </c>
      <c r="N332" s="12" t="n">
        <v>0.413</v>
      </c>
      <c r="O332" s="15" t="n">
        <v>0.9184</v>
      </c>
      <c r="P332" s="15" t="n">
        <v>0.957</v>
      </c>
      <c r="Q332" s="11"/>
    </row>
    <row r="333" customFormat="false" ht="15" hidden="false" customHeight="false" outlineLevel="0" collapsed="false">
      <c r="A333" s="7" t="str">
        <f aca="false">D333&amp;"-"&amp;TEXT(E333,"00")&amp;"-"&amp;H333&amp;"-"&amp;B333</f>
        <v>MP-10-100–200-wet</v>
      </c>
      <c r="B333" s="8" t="s">
        <v>71</v>
      </c>
      <c r="C333" s="8" t="s">
        <v>72</v>
      </c>
      <c r="D333" s="8" t="s">
        <v>48</v>
      </c>
      <c r="E333" s="8" t="n">
        <v>10</v>
      </c>
      <c r="F333" s="8" t="n">
        <v>100</v>
      </c>
      <c r="G333" s="8" t="n">
        <v>200</v>
      </c>
      <c r="H333" s="7" t="str">
        <f aca="false">F333&amp;"–"&amp;G333</f>
        <v>100–200</v>
      </c>
      <c r="I333" s="12" t="n">
        <v>11.603</v>
      </c>
      <c r="J333" s="12" t="n">
        <v>0.302</v>
      </c>
      <c r="K333" s="13" t="n">
        <f aca="false">I333-J333</f>
        <v>11.301</v>
      </c>
      <c r="L333" s="14" t="n">
        <f aca="false">IF(I333=0,"",100*J333/I333)</f>
        <v>2.60277514435922</v>
      </c>
      <c r="M333" s="12" t="n">
        <v>12.488</v>
      </c>
      <c r="N333" s="12" t="n">
        <v>0.316</v>
      </c>
      <c r="O333" s="15" t="n">
        <v>0.9291</v>
      </c>
      <c r="P333" s="15" t="n">
        <v>0.957</v>
      </c>
      <c r="Q333" s="11"/>
    </row>
    <row r="334" customFormat="false" ht="15" hidden="false" customHeight="false" outlineLevel="0" collapsed="false">
      <c r="A334" s="7" t="str">
        <f aca="false">D334&amp;"-"&amp;TEXT(E334,"00")&amp;"-"&amp;H334&amp;"-"&amp;B334</f>
        <v>MP-10-200–300-wet</v>
      </c>
      <c r="B334" s="8" t="s">
        <v>71</v>
      </c>
      <c r="C334" s="8" t="s">
        <v>72</v>
      </c>
      <c r="D334" s="8" t="s">
        <v>48</v>
      </c>
      <c r="E334" s="8" t="n">
        <v>10</v>
      </c>
      <c r="F334" s="8" t="n">
        <v>200</v>
      </c>
      <c r="G334" s="8" t="n">
        <v>300</v>
      </c>
      <c r="H334" s="7" t="str">
        <f aca="false">F334&amp;"–"&amp;G334</f>
        <v>200–300</v>
      </c>
      <c r="I334" s="12" t="n">
        <v>9.261</v>
      </c>
      <c r="J334" s="12" t="n">
        <v>0.302</v>
      </c>
      <c r="K334" s="13" t="n">
        <f aca="false">I334-J334</f>
        <v>8.959</v>
      </c>
      <c r="L334" s="14" t="n">
        <f aca="false">IF(I334=0,"",100*J334/I334)</f>
        <v>3.26098693445632</v>
      </c>
      <c r="M334" s="12" t="n">
        <v>9.968</v>
      </c>
      <c r="N334" s="12" t="n">
        <v>0.316</v>
      </c>
      <c r="O334" s="15" t="n">
        <v>0.9291</v>
      </c>
      <c r="P334" s="15" t="n">
        <v>0.957</v>
      </c>
      <c r="Q334" s="11"/>
    </row>
    <row r="335" customFormat="false" ht="15" hidden="false" customHeight="false" outlineLevel="0" collapsed="false">
      <c r="A335" s="7" t="str">
        <f aca="false">D335&amp;"-"&amp;TEXT(E335,"00")&amp;"-"&amp;H335&amp;"-"&amp;B335</f>
        <v>MP-11-0–100-wet</v>
      </c>
      <c r="B335" s="8" t="s">
        <v>71</v>
      </c>
      <c r="C335" s="8" t="s">
        <v>72</v>
      </c>
      <c r="D335" s="8" t="s">
        <v>48</v>
      </c>
      <c r="E335" s="8" t="n">
        <v>11</v>
      </c>
      <c r="F335" s="8" t="n">
        <v>0</v>
      </c>
      <c r="G335" s="8" t="n">
        <v>100</v>
      </c>
      <c r="H335" s="7" t="str">
        <f aca="false">F335&amp;"–"&amp;G335</f>
        <v>0–100</v>
      </c>
      <c r="I335" s="12" t="n">
        <v>21.36</v>
      </c>
      <c r="J335" s="12" t="n">
        <v>0.243</v>
      </c>
      <c r="K335" s="13" t="n">
        <f aca="false">I335-J335</f>
        <v>21.117</v>
      </c>
      <c r="L335" s="14" t="n">
        <f aca="false">IF(I335=0,"",100*J335/I335)</f>
        <v>1.1376404494382</v>
      </c>
      <c r="M335" s="12" t="n">
        <v>23.257</v>
      </c>
      <c r="N335" s="12" t="n">
        <v>0.253</v>
      </c>
      <c r="O335" s="15" t="n">
        <v>0.9184</v>
      </c>
      <c r="P335" s="15" t="n">
        <v>0.957</v>
      </c>
      <c r="Q335" s="11"/>
    </row>
    <row r="336" customFormat="false" ht="15" hidden="false" customHeight="false" outlineLevel="0" collapsed="false">
      <c r="A336" s="7" t="str">
        <f aca="false">D336&amp;"-"&amp;TEXT(E336,"00")&amp;"-"&amp;H336&amp;"-"&amp;B336</f>
        <v>MP-11-100–200-wet</v>
      </c>
      <c r="B336" s="8" t="s">
        <v>71</v>
      </c>
      <c r="C336" s="8" t="s">
        <v>72</v>
      </c>
      <c r="D336" s="8" t="s">
        <v>48</v>
      </c>
      <c r="E336" s="8" t="n">
        <v>11</v>
      </c>
      <c r="F336" s="8" t="n">
        <v>100</v>
      </c>
      <c r="G336" s="8" t="n">
        <v>200</v>
      </c>
      <c r="H336" s="7" t="str">
        <f aca="false">F336&amp;"–"&amp;G336</f>
        <v>100–200</v>
      </c>
      <c r="I336" s="12" t="n">
        <v>13.615</v>
      </c>
      <c r="J336" s="12" t="n">
        <v>0.211</v>
      </c>
      <c r="K336" s="13" t="n">
        <f aca="false">I336-J336</f>
        <v>13.404</v>
      </c>
      <c r="L336" s="14" t="n">
        <f aca="false">IF(I336=0,"",100*J336/I336)</f>
        <v>1.54976129269188</v>
      </c>
      <c r="M336" s="12" t="n">
        <v>14.654</v>
      </c>
      <c r="N336" s="12" t="n">
        <v>0.221</v>
      </c>
      <c r="O336" s="15" t="n">
        <v>0.9291</v>
      </c>
      <c r="P336" s="15" t="n">
        <v>0.957</v>
      </c>
      <c r="Q336" s="11"/>
    </row>
    <row r="337" customFormat="false" ht="15" hidden="false" customHeight="false" outlineLevel="0" collapsed="false">
      <c r="A337" s="7" t="str">
        <f aca="false">D337&amp;"-"&amp;TEXT(E337,"00")&amp;"-"&amp;H337&amp;"-"&amp;B337</f>
        <v>MP-11-200–300-wet</v>
      </c>
      <c r="B337" s="8" t="s">
        <v>71</v>
      </c>
      <c r="C337" s="8" t="s">
        <v>72</v>
      </c>
      <c r="D337" s="8" t="s">
        <v>48</v>
      </c>
      <c r="E337" s="8" t="n">
        <v>11</v>
      </c>
      <c r="F337" s="8" t="n">
        <v>200</v>
      </c>
      <c r="G337" s="8" t="n">
        <v>300</v>
      </c>
      <c r="H337" s="7" t="str">
        <f aca="false">F337&amp;"–"&amp;G337</f>
        <v>200–300</v>
      </c>
      <c r="I337" s="12" t="n">
        <v>12.163</v>
      </c>
      <c r="J337" s="12" t="n">
        <v>0.362</v>
      </c>
      <c r="K337" s="13" t="n">
        <f aca="false">I337-J337</f>
        <v>11.801</v>
      </c>
      <c r="L337" s="14" t="n">
        <f aca="false">IF(I337=0,"",100*J337/I337)</f>
        <v>2.9762394146181</v>
      </c>
      <c r="M337" s="12" t="n">
        <v>13.091</v>
      </c>
      <c r="N337" s="12" t="n">
        <v>0.378</v>
      </c>
      <c r="O337" s="15" t="n">
        <v>0.9291</v>
      </c>
      <c r="P337" s="15" t="n">
        <v>0.957</v>
      </c>
      <c r="Q337" s="11"/>
    </row>
    <row r="338" customFormat="false" ht="15" hidden="false" customHeight="false" outlineLevel="0" collapsed="false">
      <c r="A338" s="7" t="str">
        <f aca="false">D338&amp;"-"&amp;TEXT(E338,"00")&amp;"-"&amp;H338&amp;"-"&amp;B338</f>
        <v>MP-12-0–100-wet</v>
      </c>
      <c r="B338" s="8" t="s">
        <v>71</v>
      </c>
      <c r="C338" s="8" t="s">
        <v>72</v>
      </c>
      <c r="D338" s="8" t="s">
        <v>48</v>
      </c>
      <c r="E338" s="8" t="n">
        <v>12</v>
      </c>
      <c r="F338" s="8" t="n">
        <v>0</v>
      </c>
      <c r="G338" s="8" t="n">
        <v>100</v>
      </c>
      <c r="H338" s="7" t="str">
        <f aca="false">F338&amp;"–"&amp;G338</f>
        <v>0–100</v>
      </c>
      <c r="I338" s="12" t="n">
        <v>11.414</v>
      </c>
      <c r="J338" s="12" t="n">
        <v>0.388</v>
      </c>
      <c r="K338" s="13" t="n">
        <f aca="false">I338-J338</f>
        <v>11.026</v>
      </c>
      <c r="L338" s="14" t="n">
        <f aca="false">IF(I338=0,"",100*J338/I338)</f>
        <v>3.39933415104258</v>
      </c>
      <c r="M338" s="12" t="n">
        <v>12.428</v>
      </c>
      <c r="N338" s="12" t="n">
        <v>0.406</v>
      </c>
      <c r="O338" s="15" t="n">
        <v>0.9184</v>
      </c>
      <c r="P338" s="15" t="n">
        <v>0.957</v>
      </c>
      <c r="Q338" s="11"/>
    </row>
    <row r="339" customFormat="false" ht="15" hidden="false" customHeight="false" outlineLevel="0" collapsed="false">
      <c r="A339" s="7" t="str">
        <f aca="false">D339&amp;"-"&amp;TEXT(E339,"00")&amp;"-"&amp;H339&amp;"-"&amp;B339</f>
        <v>MP-12-100–200-wet</v>
      </c>
      <c r="B339" s="8" t="s">
        <v>71</v>
      </c>
      <c r="C339" s="8" t="s">
        <v>72</v>
      </c>
      <c r="D339" s="8" t="s">
        <v>48</v>
      </c>
      <c r="E339" s="8" t="n">
        <v>12</v>
      </c>
      <c r="F339" s="8" t="n">
        <v>100</v>
      </c>
      <c r="G339" s="8" t="n">
        <v>200</v>
      </c>
      <c r="H339" s="7" t="str">
        <f aca="false">F339&amp;"–"&amp;G339</f>
        <v>100–200</v>
      </c>
      <c r="I339" s="12" t="n">
        <v>9.232</v>
      </c>
      <c r="J339" s="12" t="n">
        <v>0.211</v>
      </c>
      <c r="K339" s="13" t="n">
        <f aca="false">I339-J339</f>
        <v>9.021</v>
      </c>
      <c r="L339" s="14" t="n">
        <f aca="false">IF(I339=0,"",100*J339/I339)</f>
        <v>2.28552859618718</v>
      </c>
      <c r="M339" s="12" t="n">
        <v>9.936</v>
      </c>
      <c r="N339" s="12" t="n">
        <v>0.221</v>
      </c>
      <c r="O339" s="15" t="n">
        <v>0.9291</v>
      </c>
      <c r="P339" s="15" t="n">
        <v>0.957</v>
      </c>
      <c r="Q339" s="11"/>
    </row>
    <row r="340" customFormat="false" ht="15" hidden="false" customHeight="false" outlineLevel="0" collapsed="false">
      <c r="A340" s="7" t="str">
        <f aca="false">D340&amp;"-"&amp;TEXT(E340,"00")&amp;"-"&amp;H340&amp;"-"&amp;B340</f>
        <v>MP-12-200–300-wet</v>
      </c>
      <c r="B340" s="8" t="s">
        <v>71</v>
      </c>
      <c r="C340" s="8" t="s">
        <v>72</v>
      </c>
      <c r="D340" s="8" t="s">
        <v>48</v>
      </c>
      <c r="E340" s="8" t="n">
        <v>12</v>
      </c>
      <c r="F340" s="8" t="n">
        <v>200</v>
      </c>
      <c r="G340" s="8" t="n">
        <v>300</v>
      </c>
      <c r="H340" s="7" t="str">
        <f aca="false">F340&amp;"–"&amp;G340</f>
        <v>200–300</v>
      </c>
      <c r="I340" s="12" t="n">
        <v>11.074</v>
      </c>
      <c r="J340" s="12" t="n">
        <v>0.269</v>
      </c>
      <c r="K340" s="13" t="n">
        <f aca="false">I340-J340</f>
        <v>10.805</v>
      </c>
      <c r="L340" s="14" t="n">
        <f aca="false">IF(I340=0,"",100*J340/I340)</f>
        <v>2.42911323821564</v>
      </c>
      <c r="M340" s="12" t="n">
        <v>11.919</v>
      </c>
      <c r="N340" s="12" t="n">
        <v>0.282</v>
      </c>
      <c r="O340" s="15" t="n">
        <v>0.9291</v>
      </c>
      <c r="P340" s="15" t="n">
        <v>0.957</v>
      </c>
      <c r="Q340" s="11"/>
    </row>
    <row r="341" customFormat="false" ht="15" hidden="false" customHeight="false" outlineLevel="0" collapsed="false">
      <c r="A341" s="7" t="str">
        <f aca="false">D341&amp;"-"&amp;TEXT(E341,"00")&amp;"-"&amp;H341&amp;"-"&amp;B341</f>
        <v>MP-13-0–100-wet</v>
      </c>
      <c r="B341" s="8" t="s">
        <v>71</v>
      </c>
      <c r="C341" s="8" t="s">
        <v>72</v>
      </c>
      <c r="D341" s="8" t="s">
        <v>48</v>
      </c>
      <c r="E341" s="8" t="n">
        <v>13</v>
      </c>
      <c r="F341" s="8" t="n">
        <v>0</v>
      </c>
      <c r="G341" s="8" t="n">
        <v>100</v>
      </c>
      <c r="H341" s="7" t="str">
        <f aca="false">F341&amp;"–"&amp;G341</f>
        <v>0–100</v>
      </c>
      <c r="I341" s="12" t="n">
        <v>11.024</v>
      </c>
      <c r="J341" s="12" t="n">
        <v>0.333</v>
      </c>
      <c r="K341" s="13" t="n">
        <f aca="false">I341-J341</f>
        <v>10.691</v>
      </c>
      <c r="L341" s="14" t="n">
        <f aca="false">IF(I341=0,"",100*J341/I341)</f>
        <v>3.02068214804064</v>
      </c>
      <c r="M341" s="12" t="n">
        <v>12.003</v>
      </c>
      <c r="N341" s="12" t="n">
        <v>0.348</v>
      </c>
      <c r="O341" s="15" t="n">
        <v>0.9184</v>
      </c>
      <c r="P341" s="15" t="n">
        <v>0.957</v>
      </c>
      <c r="Q341" s="11"/>
    </row>
    <row r="342" customFormat="false" ht="15" hidden="false" customHeight="false" outlineLevel="0" collapsed="false">
      <c r="A342" s="7" t="str">
        <f aca="false">D342&amp;"-"&amp;TEXT(E342,"00")&amp;"-"&amp;H342&amp;"-"&amp;B342</f>
        <v>MP-13-100–200-wet</v>
      </c>
      <c r="B342" s="8" t="s">
        <v>71</v>
      </c>
      <c r="C342" s="8" t="s">
        <v>72</v>
      </c>
      <c r="D342" s="8" t="s">
        <v>48</v>
      </c>
      <c r="E342" s="8" t="n">
        <v>13</v>
      </c>
      <c r="F342" s="8" t="n">
        <v>100</v>
      </c>
      <c r="G342" s="8" t="n">
        <v>200</v>
      </c>
      <c r="H342" s="7" t="str">
        <f aca="false">F342&amp;"–"&amp;G342</f>
        <v>100–200</v>
      </c>
      <c r="I342" s="12" t="n">
        <v>11.373</v>
      </c>
      <c r="J342" s="12" t="n">
        <v>0.15</v>
      </c>
      <c r="K342" s="13" t="n">
        <f aca="false">I342-J342</f>
        <v>11.223</v>
      </c>
      <c r="L342" s="14" t="n">
        <f aca="false">IF(I342=0,"",100*J342/I342)</f>
        <v>1.31891321551042</v>
      </c>
      <c r="M342" s="12" t="n">
        <v>12.24</v>
      </c>
      <c r="N342" s="12" t="n">
        <v>0.157</v>
      </c>
      <c r="O342" s="15" t="n">
        <v>0.9291</v>
      </c>
      <c r="P342" s="15" t="n">
        <v>0.957</v>
      </c>
      <c r="Q342" s="11"/>
    </row>
    <row r="343" customFormat="false" ht="15" hidden="false" customHeight="false" outlineLevel="0" collapsed="false">
      <c r="A343" s="7" t="str">
        <f aca="false">D343&amp;"-"&amp;TEXT(E343,"00")&amp;"-"&amp;H343&amp;"-"&amp;B343</f>
        <v>MP-13-200–300-wet</v>
      </c>
      <c r="B343" s="8" t="s">
        <v>71</v>
      </c>
      <c r="C343" s="8" t="s">
        <v>72</v>
      </c>
      <c r="D343" s="8" t="s">
        <v>48</v>
      </c>
      <c r="E343" s="8" t="n">
        <v>13</v>
      </c>
      <c r="F343" s="8" t="n">
        <v>200</v>
      </c>
      <c r="G343" s="8" t="n">
        <v>300</v>
      </c>
      <c r="H343" s="7" t="str">
        <f aca="false">F343&amp;"–"&amp;G343</f>
        <v>200–300</v>
      </c>
      <c r="I343" s="12" t="n">
        <v>10.478</v>
      </c>
      <c r="J343" s="12" t="n">
        <v>0.482</v>
      </c>
      <c r="K343" s="13" t="n">
        <f aca="false">I343-J343</f>
        <v>9.996</v>
      </c>
      <c r="L343" s="14" t="n">
        <f aca="false">IF(I343=0,"",100*J343/I343)</f>
        <v>4.60011452567284</v>
      </c>
      <c r="M343" s="12" t="n">
        <v>11.277</v>
      </c>
      <c r="N343" s="12" t="n">
        <v>0.503</v>
      </c>
      <c r="O343" s="15" t="n">
        <v>0.9291</v>
      </c>
      <c r="P343" s="15" t="n">
        <v>0.957</v>
      </c>
      <c r="Q343" s="11"/>
    </row>
    <row r="344" customFormat="false" ht="15" hidden="false" customHeight="false" outlineLevel="0" collapsed="false">
      <c r="A344" s="7" t="str">
        <f aca="false">D344&amp;"-"&amp;TEXT(E344,"00")&amp;"-"&amp;H344&amp;"-"&amp;B344</f>
        <v>MP-14-0–100-wet</v>
      </c>
      <c r="B344" s="8" t="s">
        <v>71</v>
      </c>
      <c r="C344" s="8" t="s">
        <v>72</v>
      </c>
      <c r="D344" s="8" t="s">
        <v>48</v>
      </c>
      <c r="E344" s="8" t="n">
        <v>14</v>
      </c>
      <c r="F344" s="8" t="n">
        <v>0</v>
      </c>
      <c r="G344" s="8" t="n">
        <v>100</v>
      </c>
      <c r="H344" s="7" t="str">
        <f aca="false">F344&amp;"–"&amp;G344</f>
        <v>0–100</v>
      </c>
      <c r="I344" s="12" t="n">
        <v>10.941</v>
      </c>
      <c r="J344" s="12" t="n">
        <v>0.54</v>
      </c>
      <c r="K344" s="13" t="n">
        <f aca="false">I344-J344</f>
        <v>10.401</v>
      </c>
      <c r="L344" s="14" t="n">
        <f aca="false">IF(I344=0,"",100*J344/I344)</f>
        <v>4.93556347683027</v>
      </c>
      <c r="M344" s="12" t="n">
        <v>11.913</v>
      </c>
      <c r="N344" s="12" t="n">
        <v>0.565</v>
      </c>
      <c r="O344" s="15" t="n">
        <v>0.9184</v>
      </c>
      <c r="P344" s="15" t="n">
        <v>0.957</v>
      </c>
      <c r="Q344" s="11"/>
    </row>
    <row r="345" customFormat="false" ht="15" hidden="false" customHeight="false" outlineLevel="0" collapsed="false">
      <c r="A345" s="7" t="str">
        <f aca="false">D345&amp;"-"&amp;TEXT(E345,"00")&amp;"-"&amp;H345&amp;"-"&amp;B345</f>
        <v>MP-14-100–200-wet</v>
      </c>
      <c r="B345" s="8" t="s">
        <v>71</v>
      </c>
      <c r="C345" s="8" t="s">
        <v>72</v>
      </c>
      <c r="D345" s="8" t="s">
        <v>48</v>
      </c>
      <c r="E345" s="8" t="n">
        <v>14</v>
      </c>
      <c r="F345" s="8" t="n">
        <v>100</v>
      </c>
      <c r="G345" s="8" t="n">
        <v>200</v>
      </c>
      <c r="H345" s="7" t="str">
        <f aca="false">F345&amp;"–"&amp;G345</f>
        <v>100–200</v>
      </c>
      <c r="I345" s="12" t="n">
        <v>7.493</v>
      </c>
      <c r="J345" s="12" t="n">
        <v>0.15</v>
      </c>
      <c r="K345" s="13" t="n">
        <f aca="false">I345-J345</f>
        <v>7.343</v>
      </c>
      <c r="L345" s="14" t="n">
        <f aca="false">IF(I345=0,"",100*J345/I345)</f>
        <v>2.00186841051648</v>
      </c>
      <c r="M345" s="12" t="n">
        <v>8.064</v>
      </c>
      <c r="N345" s="12" t="n">
        <v>0.157</v>
      </c>
      <c r="O345" s="15" t="n">
        <v>0.9291</v>
      </c>
      <c r="P345" s="15" t="n">
        <v>0.957</v>
      </c>
      <c r="Q345" s="11"/>
    </row>
    <row r="346" customFormat="false" ht="15" hidden="false" customHeight="false" outlineLevel="0" collapsed="false">
      <c r="A346" s="7" t="str">
        <f aca="false">D346&amp;"-"&amp;TEXT(E346,"00")&amp;"-"&amp;H346&amp;"-"&amp;B346</f>
        <v>MP-14-200–300-wet</v>
      </c>
      <c r="B346" s="8" t="s">
        <v>71</v>
      </c>
      <c r="C346" s="8" t="s">
        <v>72</v>
      </c>
      <c r="D346" s="8" t="s">
        <v>48</v>
      </c>
      <c r="E346" s="8" t="n">
        <v>14</v>
      </c>
      <c r="F346" s="8" t="n">
        <v>200</v>
      </c>
      <c r="G346" s="8" t="n">
        <v>300</v>
      </c>
      <c r="H346" s="7" t="str">
        <f aca="false">F346&amp;"–"&amp;G346</f>
        <v>200–300</v>
      </c>
      <c r="I346" s="12" t="n">
        <v>9.057</v>
      </c>
      <c r="J346" s="12" t="n">
        <v>0.363</v>
      </c>
      <c r="K346" s="13" t="n">
        <f aca="false">I346-J346</f>
        <v>8.694</v>
      </c>
      <c r="L346" s="14" t="n">
        <f aca="false">IF(I346=0,"",100*J346/I346)</f>
        <v>4.00794965220272</v>
      </c>
      <c r="M346" s="12" t="n">
        <v>9.747</v>
      </c>
      <c r="N346" s="12" t="n">
        <v>0.379</v>
      </c>
      <c r="O346" s="15" t="n">
        <v>0.9291</v>
      </c>
      <c r="P346" s="15" t="n">
        <v>0.957</v>
      </c>
      <c r="Q346" s="11"/>
    </row>
    <row r="347" customFormat="false" ht="15" hidden="false" customHeight="false" outlineLevel="0" collapsed="false">
      <c r="A347" s="7" t="str">
        <f aca="false">D347&amp;"-"&amp;TEXT(E347,"00")&amp;"-"&amp;H347&amp;"-"&amp;B347</f>
        <v>MP-15-0–100-wet</v>
      </c>
      <c r="B347" s="8" t="s">
        <v>71</v>
      </c>
      <c r="C347" s="8" t="s">
        <v>72</v>
      </c>
      <c r="D347" s="8" t="s">
        <v>48</v>
      </c>
      <c r="E347" s="8" t="n">
        <v>15</v>
      </c>
      <c r="F347" s="8" t="n">
        <v>0</v>
      </c>
      <c r="G347" s="8" t="n">
        <v>100</v>
      </c>
      <c r="H347" s="7" t="str">
        <f aca="false">F347&amp;"–"&amp;G347</f>
        <v>0–100</v>
      </c>
      <c r="I347" s="12" t="n">
        <v>14.55</v>
      </c>
      <c r="J347" s="12" t="n">
        <v>0.333</v>
      </c>
      <c r="K347" s="13" t="n">
        <f aca="false">I347-J347</f>
        <v>14.217</v>
      </c>
      <c r="L347" s="14" t="n">
        <f aca="false">IF(I347=0,"",100*J347/I347)</f>
        <v>2.28865979381443</v>
      </c>
      <c r="M347" s="12" t="n">
        <v>15.842</v>
      </c>
      <c r="N347" s="12" t="n">
        <v>0.348</v>
      </c>
      <c r="O347" s="15" t="n">
        <v>0.9184</v>
      </c>
      <c r="P347" s="15" t="n">
        <v>0.957</v>
      </c>
      <c r="Q347" s="11"/>
    </row>
    <row r="348" customFormat="false" ht="15" hidden="false" customHeight="false" outlineLevel="0" collapsed="false">
      <c r="A348" s="7" t="str">
        <f aca="false">D348&amp;"-"&amp;TEXT(E348,"00")&amp;"-"&amp;H348&amp;"-"&amp;B348</f>
        <v>MP-15-100–200-wet</v>
      </c>
      <c r="B348" s="8" t="s">
        <v>71</v>
      </c>
      <c r="C348" s="8" t="s">
        <v>72</v>
      </c>
      <c r="D348" s="8" t="s">
        <v>48</v>
      </c>
      <c r="E348" s="8" t="n">
        <v>15</v>
      </c>
      <c r="F348" s="8" t="n">
        <v>100</v>
      </c>
      <c r="G348" s="8" t="n">
        <v>200</v>
      </c>
      <c r="H348" s="7" t="str">
        <f aca="false">F348&amp;"–"&amp;G348</f>
        <v>100–200</v>
      </c>
      <c r="I348" s="12" t="n">
        <v>10.279</v>
      </c>
      <c r="J348" s="12" t="n">
        <v>0.15</v>
      </c>
      <c r="K348" s="13" t="n">
        <f aca="false">I348-J348</f>
        <v>10.129</v>
      </c>
      <c r="L348" s="14" t="n">
        <f aca="false">IF(I348=0,"",100*J348/I348)</f>
        <v>1.45928592275513</v>
      </c>
      <c r="M348" s="12" t="n">
        <v>11.063</v>
      </c>
      <c r="N348" s="12" t="n">
        <v>0.157</v>
      </c>
      <c r="O348" s="15" t="n">
        <v>0.9291</v>
      </c>
      <c r="P348" s="15" t="n">
        <v>0.957</v>
      </c>
      <c r="Q348" s="11"/>
    </row>
    <row r="349" customFormat="false" ht="15" hidden="false" customHeight="false" outlineLevel="0" collapsed="false">
      <c r="A349" s="7" t="str">
        <f aca="false">D349&amp;"-"&amp;TEXT(E349,"00")&amp;"-"&amp;H349&amp;"-"&amp;B349</f>
        <v>MP-15-200–300-wet</v>
      </c>
      <c r="B349" s="8" t="s">
        <v>71</v>
      </c>
      <c r="C349" s="8" t="s">
        <v>72</v>
      </c>
      <c r="D349" s="8" t="s">
        <v>48</v>
      </c>
      <c r="E349" s="8" t="n">
        <v>15</v>
      </c>
      <c r="F349" s="8" t="n">
        <v>200</v>
      </c>
      <c r="G349" s="8" t="n">
        <v>300</v>
      </c>
      <c r="H349" s="7" t="str">
        <f aca="false">F349&amp;"–"&amp;G349</f>
        <v>200–300</v>
      </c>
      <c r="I349" s="12" t="n">
        <v>11.168</v>
      </c>
      <c r="J349" s="12" t="n">
        <v>0.303</v>
      </c>
      <c r="K349" s="13" t="n">
        <f aca="false">I349-J349</f>
        <v>10.865</v>
      </c>
      <c r="L349" s="14" t="n">
        <f aca="false">IF(I349=0,"",100*J349/I349)</f>
        <v>2.71310888252149</v>
      </c>
      <c r="M349" s="12" t="n">
        <v>12.02</v>
      </c>
      <c r="N349" s="12" t="n">
        <v>0.316</v>
      </c>
      <c r="O349" s="15" t="n">
        <v>0.9291</v>
      </c>
      <c r="P349" s="15" t="n">
        <v>0.957</v>
      </c>
      <c r="Q349" s="11"/>
    </row>
    <row r="350" customFormat="false" ht="15" hidden="false" customHeight="false" outlineLevel="0" collapsed="false">
      <c r="A350" s="7" t="str">
        <f aca="false">D350&amp;"-"&amp;TEXT(E350,"00")&amp;"-"&amp;H350&amp;"-"&amp;B350</f>
        <v>MP-16-0–100-wet</v>
      </c>
      <c r="B350" s="8" t="s">
        <v>71</v>
      </c>
      <c r="C350" s="8" t="s">
        <v>72</v>
      </c>
      <c r="D350" s="8" t="s">
        <v>48</v>
      </c>
      <c r="E350" s="8" t="n">
        <v>16</v>
      </c>
      <c r="F350" s="8" t="n">
        <v>0</v>
      </c>
      <c r="G350" s="8" t="n">
        <v>100</v>
      </c>
      <c r="H350" s="7" t="str">
        <f aca="false">F350&amp;"–"&amp;G350</f>
        <v>0–100</v>
      </c>
      <c r="I350" s="12" t="n">
        <v>12.89</v>
      </c>
      <c r="J350" s="12" t="n">
        <v>0.304</v>
      </c>
      <c r="K350" s="13" t="n">
        <f aca="false">I350-J350</f>
        <v>12.586</v>
      </c>
      <c r="L350" s="14" t="n">
        <f aca="false">IF(I350=0,"",100*J350/I350)</f>
        <v>2.35841737781226</v>
      </c>
      <c r="M350" s="12" t="n">
        <v>14.035</v>
      </c>
      <c r="N350" s="12" t="n">
        <v>0.317</v>
      </c>
      <c r="O350" s="15" t="n">
        <v>0.9184</v>
      </c>
      <c r="P350" s="15" t="n">
        <v>0.957</v>
      </c>
      <c r="Q350" s="11"/>
    </row>
    <row r="351" customFormat="false" ht="15" hidden="false" customHeight="false" outlineLevel="0" collapsed="false">
      <c r="A351" s="7" t="str">
        <f aca="false">D351&amp;"-"&amp;TEXT(E351,"00")&amp;"-"&amp;H351&amp;"-"&amp;B351</f>
        <v>MP-16-100–200-wet</v>
      </c>
      <c r="B351" s="8" t="s">
        <v>71</v>
      </c>
      <c r="C351" s="8" t="s">
        <v>72</v>
      </c>
      <c r="D351" s="8" t="s">
        <v>48</v>
      </c>
      <c r="E351" s="8" t="n">
        <v>16</v>
      </c>
      <c r="F351" s="8" t="n">
        <v>100</v>
      </c>
      <c r="G351" s="8" t="n">
        <v>200</v>
      </c>
      <c r="H351" s="7" t="str">
        <f aca="false">F351&amp;"–"&amp;G351</f>
        <v>100–200</v>
      </c>
      <c r="I351" s="12" t="n">
        <v>9.452</v>
      </c>
      <c r="J351" s="12" t="n">
        <v>0.122</v>
      </c>
      <c r="K351" s="13" t="n">
        <f aca="false">I351-J351</f>
        <v>9.33</v>
      </c>
      <c r="L351" s="14" t="n">
        <f aca="false">IF(I351=0,"",100*J351/I351)</f>
        <v>1.2907321201862</v>
      </c>
      <c r="M351" s="12" t="n">
        <v>10.173</v>
      </c>
      <c r="N351" s="12" t="n">
        <v>0.127</v>
      </c>
      <c r="O351" s="15" t="n">
        <v>0.9291</v>
      </c>
      <c r="P351" s="15" t="n">
        <v>0.957</v>
      </c>
      <c r="Q351" s="11"/>
    </row>
    <row r="352" customFormat="false" ht="15" hidden="false" customHeight="false" outlineLevel="0" collapsed="false">
      <c r="A352" s="7" t="str">
        <f aca="false">D352&amp;"-"&amp;TEXT(E352,"00")&amp;"-"&amp;H352&amp;"-"&amp;B352</f>
        <v>MP-16-200–300-wet</v>
      </c>
      <c r="B352" s="8" t="s">
        <v>71</v>
      </c>
      <c r="C352" s="8" t="s">
        <v>72</v>
      </c>
      <c r="D352" s="8" t="s">
        <v>48</v>
      </c>
      <c r="E352" s="8" t="n">
        <v>16</v>
      </c>
      <c r="F352" s="8" t="n">
        <v>200</v>
      </c>
      <c r="G352" s="8" t="n">
        <v>300</v>
      </c>
      <c r="H352" s="7" t="str">
        <f aca="false">F352&amp;"–"&amp;G352</f>
        <v>200–300</v>
      </c>
      <c r="I352" s="12" t="n">
        <v>16.002</v>
      </c>
      <c r="J352" s="12" t="n">
        <v>0.151</v>
      </c>
      <c r="K352" s="13" t="n">
        <f aca="false">I352-J352</f>
        <v>15.851</v>
      </c>
      <c r="L352" s="14" t="n">
        <f aca="false">IF(I352=0,"",100*J352/I352)</f>
        <v>0.943632045994251</v>
      </c>
      <c r="M352" s="12" t="n">
        <v>17.222</v>
      </c>
      <c r="N352" s="12" t="n">
        <v>0.158</v>
      </c>
      <c r="O352" s="15" t="n">
        <v>0.9291</v>
      </c>
      <c r="P352" s="15" t="n">
        <v>0.957</v>
      </c>
      <c r="Q352" s="11"/>
    </row>
    <row r="353" customFormat="false" ht="15" hidden="false" customHeight="false" outlineLevel="0" collapsed="false">
      <c r="A353" s="7" t="str">
        <f aca="false">D353&amp;"-"&amp;TEXT(E353,"00")&amp;"-"&amp;H353&amp;"-"&amp;B353</f>
        <v>MP-17-0–100-wet</v>
      </c>
      <c r="B353" s="8" t="s">
        <v>71</v>
      </c>
      <c r="C353" s="8" t="s">
        <v>72</v>
      </c>
      <c r="D353" s="8" t="s">
        <v>48</v>
      </c>
      <c r="E353" s="8" t="n">
        <v>17</v>
      </c>
      <c r="F353" s="8" t="n">
        <v>0</v>
      </c>
      <c r="G353" s="8" t="n">
        <v>100</v>
      </c>
      <c r="H353" s="7" t="str">
        <f aca="false">F353&amp;"–"&amp;G353</f>
        <v>0–100</v>
      </c>
      <c r="I353" s="12" t="n">
        <v>8.948</v>
      </c>
      <c r="J353" s="12" t="n">
        <v>0.333</v>
      </c>
      <c r="K353" s="13" t="n">
        <f aca="false">I353-J353</f>
        <v>8.615</v>
      </c>
      <c r="L353" s="14" t="n">
        <f aca="false">IF(I353=0,"",100*J353/I353)</f>
        <v>3.72150201162271</v>
      </c>
      <c r="M353" s="12" t="n">
        <v>9.743</v>
      </c>
      <c r="N353" s="12" t="n">
        <v>0.348</v>
      </c>
      <c r="O353" s="15" t="n">
        <v>0.9184</v>
      </c>
      <c r="P353" s="15" t="n">
        <v>0.957</v>
      </c>
      <c r="Q353" s="11"/>
    </row>
    <row r="354" customFormat="false" ht="15" hidden="false" customHeight="false" outlineLevel="0" collapsed="false">
      <c r="A354" s="7" t="str">
        <f aca="false">D354&amp;"-"&amp;TEXT(E354,"00")&amp;"-"&amp;H354&amp;"-"&amp;B354</f>
        <v>MP-17-100–200-wet</v>
      </c>
      <c r="B354" s="8" t="s">
        <v>71</v>
      </c>
      <c r="C354" s="8" t="s">
        <v>72</v>
      </c>
      <c r="D354" s="8" t="s">
        <v>48</v>
      </c>
      <c r="E354" s="8" t="n">
        <v>17</v>
      </c>
      <c r="F354" s="8" t="n">
        <v>100</v>
      </c>
      <c r="G354" s="8" t="n">
        <v>200</v>
      </c>
      <c r="H354" s="7" t="str">
        <f aca="false">F354&amp;"–"&amp;G354</f>
        <v>100–200</v>
      </c>
      <c r="I354" s="12" t="n">
        <v>7.533</v>
      </c>
      <c r="J354" s="12" t="n">
        <v>0.271</v>
      </c>
      <c r="K354" s="13" t="n">
        <f aca="false">I354-J354</f>
        <v>7.262</v>
      </c>
      <c r="L354" s="14" t="n">
        <f aca="false">IF(I354=0,"",100*J354/I354)</f>
        <v>3.59750431435019</v>
      </c>
      <c r="M354" s="12" t="n">
        <v>8.108</v>
      </c>
      <c r="N354" s="12" t="n">
        <v>0.283</v>
      </c>
      <c r="O354" s="15" t="n">
        <v>0.9291</v>
      </c>
      <c r="P354" s="15" t="n">
        <v>0.957</v>
      </c>
      <c r="Q354" s="11"/>
    </row>
    <row r="355" customFormat="false" ht="15" hidden="false" customHeight="false" outlineLevel="0" collapsed="false">
      <c r="A355" s="7" t="str">
        <f aca="false">D355&amp;"-"&amp;TEXT(E355,"00")&amp;"-"&amp;H355&amp;"-"&amp;B355</f>
        <v>MP-17-200–300-wet</v>
      </c>
      <c r="B355" s="8" t="s">
        <v>71</v>
      </c>
      <c r="C355" s="8" t="s">
        <v>72</v>
      </c>
      <c r="D355" s="8" t="s">
        <v>48</v>
      </c>
      <c r="E355" s="8" t="n">
        <v>17</v>
      </c>
      <c r="F355" s="8" t="n">
        <v>200</v>
      </c>
      <c r="G355" s="8" t="n">
        <v>300</v>
      </c>
      <c r="H355" s="7" t="str">
        <f aca="false">F355&amp;"–"&amp;G355</f>
        <v>200–300</v>
      </c>
      <c r="I355" s="12" t="n">
        <v>7.881</v>
      </c>
      <c r="J355" s="12" t="n">
        <v>0.484</v>
      </c>
      <c r="K355" s="13" t="n">
        <f aca="false">I355-J355</f>
        <v>7.397</v>
      </c>
      <c r="L355" s="14" t="n">
        <f aca="false">IF(I355=0,"",100*J355/I355)</f>
        <v>6.14135262022586</v>
      </c>
      <c r="M355" s="12" t="n">
        <v>8.482</v>
      </c>
      <c r="N355" s="12" t="n">
        <v>0.506</v>
      </c>
      <c r="O355" s="15" t="n">
        <v>0.9291</v>
      </c>
      <c r="P355" s="15" t="n">
        <v>0.957</v>
      </c>
      <c r="Q355" s="11"/>
    </row>
    <row r="356" customFormat="false" ht="15" hidden="false" customHeight="false" outlineLevel="0" collapsed="false">
      <c r="A356" s="7" t="str">
        <f aca="false">D356&amp;"-"&amp;TEXT(E356,"00")&amp;"-"&amp;H356&amp;"-"&amp;B356</f>
        <v>MP-18-0–100-wet</v>
      </c>
      <c r="B356" s="8" t="s">
        <v>71</v>
      </c>
      <c r="C356" s="8" t="s">
        <v>72</v>
      </c>
      <c r="D356" s="8" t="s">
        <v>48</v>
      </c>
      <c r="E356" s="8" t="n">
        <v>18</v>
      </c>
      <c r="F356" s="8" t="n">
        <v>0</v>
      </c>
      <c r="G356" s="8" t="n">
        <v>100</v>
      </c>
      <c r="H356" s="7" t="str">
        <f aca="false">F356&amp;"–"&amp;G356</f>
        <v>0–100</v>
      </c>
      <c r="I356" s="12" t="n">
        <v>13.46</v>
      </c>
      <c r="J356" s="12" t="n">
        <v>0.425</v>
      </c>
      <c r="K356" s="13" t="n">
        <f aca="false">I356-J356</f>
        <v>13.035</v>
      </c>
      <c r="L356" s="14" t="n">
        <f aca="false">IF(I356=0,"",100*J356/I356)</f>
        <v>3.15750371471025</v>
      </c>
      <c r="M356" s="12" t="n">
        <v>14.656</v>
      </c>
      <c r="N356" s="12" t="n">
        <v>0.444</v>
      </c>
      <c r="O356" s="15" t="n">
        <v>0.9184</v>
      </c>
      <c r="P356" s="15" t="n">
        <v>0.957</v>
      </c>
      <c r="Q356" s="11"/>
    </row>
    <row r="357" customFormat="false" ht="15" hidden="false" customHeight="false" outlineLevel="0" collapsed="false">
      <c r="A357" s="7" t="str">
        <f aca="false">D357&amp;"-"&amp;TEXT(E357,"00")&amp;"-"&amp;H357&amp;"-"&amp;B357</f>
        <v>MP-18-100–200-wet</v>
      </c>
      <c r="B357" s="8" t="s">
        <v>71</v>
      </c>
      <c r="C357" s="8" t="s">
        <v>72</v>
      </c>
      <c r="D357" s="8" t="s">
        <v>48</v>
      </c>
      <c r="E357" s="8" t="n">
        <v>18</v>
      </c>
      <c r="F357" s="8" t="n">
        <v>100</v>
      </c>
      <c r="G357" s="8" t="n">
        <v>200</v>
      </c>
      <c r="H357" s="7" t="str">
        <f aca="false">F357&amp;"–"&amp;G357</f>
        <v>100–200</v>
      </c>
      <c r="I357" s="12" t="n">
        <v>8.798</v>
      </c>
      <c r="J357" s="12" t="n">
        <v>0.243</v>
      </c>
      <c r="K357" s="13" t="n">
        <f aca="false">I357-J357</f>
        <v>8.555</v>
      </c>
      <c r="L357" s="14" t="n">
        <f aca="false">IF(I357=0,"",100*J357/I357)</f>
        <v>2.76199136167311</v>
      </c>
      <c r="M357" s="12" t="n">
        <v>9.469</v>
      </c>
      <c r="N357" s="12" t="n">
        <v>0.253</v>
      </c>
      <c r="O357" s="15" t="n">
        <v>0.9291</v>
      </c>
      <c r="P357" s="15" t="n">
        <v>0.957</v>
      </c>
      <c r="Q357" s="11"/>
    </row>
    <row r="358" customFormat="false" ht="15" hidden="false" customHeight="false" outlineLevel="0" collapsed="false">
      <c r="A358" s="7" t="str">
        <f aca="false">D358&amp;"-"&amp;TEXT(E358,"00")&amp;"-"&amp;H358&amp;"-"&amp;B358</f>
        <v>MP-18-200–300-wet</v>
      </c>
      <c r="B358" s="8" t="s">
        <v>71</v>
      </c>
      <c r="C358" s="8" t="s">
        <v>72</v>
      </c>
      <c r="D358" s="8" t="s">
        <v>48</v>
      </c>
      <c r="E358" s="8" t="n">
        <v>18</v>
      </c>
      <c r="F358" s="8" t="n">
        <v>200</v>
      </c>
      <c r="G358" s="8" t="n">
        <v>300</v>
      </c>
      <c r="H358" s="7" t="str">
        <f aca="false">F358&amp;"–"&amp;G358</f>
        <v>200–300</v>
      </c>
      <c r="I358" s="12" t="n">
        <v>12.171</v>
      </c>
      <c r="J358" s="12" t="n">
        <v>0.303</v>
      </c>
      <c r="K358" s="13" t="n">
        <f aca="false">I358-J358</f>
        <v>11.868</v>
      </c>
      <c r="L358" s="14" t="n">
        <f aca="false">IF(I358=0,"",100*J358/I358)</f>
        <v>2.48952427902391</v>
      </c>
      <c r="M358" s="12" t="n">
        <v>13.1</v>
      </c>
      <c r="N358" s="12" t="n">
        <v>0.317</v>
      </c>
      <c r="O358" s="15" t="n">
        <v>0.9291</v>
      </c>
      <c r="P358" s="15" t="n">
        <v>0.957</v>
      </c>
      <c r="Q358" s="11"/>
    </row>
    <row r="359" customFormat="false" ht="15" hidden="false" customHeight="false" outlineLevel="0" collapsed="false">
      <c r="A359" s="7" t="str">
        <f aca="false">D359&amp;"-"&amp;TEXT(E359,"00")&amp;"-"&amp;H359&amp;"-"&amp;B359</f>
        <v>MP-19-0–100-wet</v>
      </c>
      <c r="B359" s="8" t="s">
        <v>71</v>
      </c>
      <c r="C359" s="8" t="s">
        <v>72</v>
      </c>
      <c r="D359" s="8" t="s">
        <v>48</v>
      </c>
      <c r="E359" s="8" t="n">
        <v>19</v>
      </c>
      <c r="F359" s="8" t="n">
        <v>0</v>
      </c>
      <c r="G359" s="8" t="n">
        <v>100</v>
      </c>
      <c r="H359" s="7" t="str">
        <f aca="false">F359&amp;"–"&amp;G359</f>
        <v>0–100</v>
      </c>
      <c r="I359" s="12" t="n">
        <v>13.74</v>
      </c>
      <c r="J359" s="12" t="n">
        <v>0.333</v>
      </c>
      <c r="K359" s="13" t="n">
        <f aca="false">I359-J359</f>
        <v>13.407</v>
      </c>
      <c r="L359" s="14" t="n">
        <f aca="false">IF(I359=0,"",100*J359/I359)</f>
        <v>2.4235807860262</v>
      </c>
      <c r="M359" s="12" t="n">
        <v>14.961</v>
      </c>
      <c r="N359" s="12" t="n">
        <v>0.348</v>
      </c>
      <c r="O359" s="15" t="n">
        <v>0.9184</v>
      </c>
      <c r="P359" s="15" t="n">
        <v>0.957</v>
      </c>
      <c r="Q359" s="11"/>
    </row>
    <row r="360" customFormat="false" ht="15" hidden="false" customHeight="false" outlineLevel="0" collapsed="false">
      <c r="A360" s="7" t="str">
        <f aca="false">D360&amp;"-"&amp;TEXT(E360,"00")&amp;"-"&amp;H360&amp;"-"&amp;B360</f>
        <v>MP-19-100–200-wet</v>
      </c>
      <c r="B360" s="8" t="s">
        <v>71</v>
      </c>
      <c r="C360" s="8" t="s">
        <v>72</v>
      </c>
      <c r="D360" s="8" t="s">
        <v>48</v>
      </c>
      <c r="E360" s="8" t="n">
        <v>19</v>
      </c>
      <c r="F360" s="8" t="n">
        <v>100</v>
      </c>
      <c r="G360" s="8" t="n">
        <v>200</v>
      </c>
      <c r="H360" s="7" t="str">
        <f aca="false">F360&amp;"–"&amp;G360</f>
        <v>100–200</v>
      </c>
      <c r="I360" s="12" t="n">
        <v>7.249</v>
      </c>
      <c r="J360" s="12" t="n">
        <v>0.333</v>
      </c>
      <c r="K360" s="13" t="n">
        <f aca="false">I360-J360</f>
        <v>6.916</v>
      </c>
      <c r="L360" s="14" t="n">
        <f aca="false">IF(I360=0,"",100*J360/I360)</f>
        <v>4.59373706718168</v>
      </c>
      <c r="M360" s="12" t="n">
        <v>7.802</v>
      </c>
      <c r="N360" s="12" t="n">
        <v>0.348</v>
      </c>
      <c r="O360" s="15" t="n">
        <v>0.9291</v>
      </c>
      <c r="P360" s="15" t="n">
        <v>0.957</v>
      </c>
      <c r="Q360" s="11"/>
    </row>
    <row r="361" customFormat="false" ht="15" hidden="false" customHeight="false" outlineLevel="0" collapsed="false">
      <c r="A361" s="7" t="str">
        <f aca="false">D361&amp;"-"&amp;TEXT(E361,"00")&amp;"-"&amp;H361&amp;"-"&amp;B361</f>
        <v>MP-19-200–300-wet</v>
      </c>
      <c r="B361" s="8" t="s">
        <v>71</v>
      </c>
      <c r="C361" s="8" t="s">
        <v>72</v>
      </c>
      <c r="D361" s="8" t="s">
        <v>48</v>
      </c>
      <c r="E361" s="8" t="n">
        <v>19</v>
      </c>
      <c r="F361" s="8" t="n">
        <v>200</v>
      </c>
      <c r="G361" s="8" t="n">
        <v>300</v>
      </c>
      <c r="H361" s="7" t="str">
        <f aca="false">F361&amp;"–"&amp;G361</f>
        <v>200–300</v>
      </c>
      <c r="I361" s="12" t="n">
        <v>16.117</v>
      </c>
      <c r="J361" s="12" t="n">
        <v>0.303</v>
      </c>
      <c r="K361" s="13" t="n">
        <f aca="false">I361-J361</f>
        <v>15.814</v>
      </c>
      <c r="L361" s="14" t="n">
        <f aca="false">IF(I361=0,"",100*J361/I361)</f>
        <v>1.88000248185146</v>
      </c>
      <c r="M361" s="12" t="n">
        <v>17.347</v>
      </c>
      <c r="N361" s="12" t="n">
        <v>0.317</v>
      </c>
      <c r="O361" s="15" t="n">
        <v>0.9291</v>
      </c>
      <c r="P361" s="15" t="n">
        <v>0.957</v>
      </c>
      <c r="Q361" s="11"/>
    </row>
    <row r="362" customFormat="false" ht="15" hidden="false" customHeight="false" outlineLevel="0" collapsed="false">
      <c r="A362" s="7" t="str">
        <f aca="false">D362&amp;"-"&amp;TEXT(E362,"00")&amp;"-"&amp;H362&amp;"-"&amp;B362</f>
        <v>MP-20-0–100-wet</v>
      </c>
      <c r="B362" s="8" t="s">
        <v>71</v>
      </c>
      <c r="C362" s="8" t="s">
        <v>72</v>
      </c>
      <c r="D362" s="8" t="s">
        <v>48</v>
      </c>
      <c r="E362" s="8" t="n">
        <v>20</v>
      </c>
      <c r="F362" s="8" t="n">
        <v>0</v>
      </c>
      <c r="G362" s="8" t="n">
        <v>100</v>
      </c>
      <c r="H362" s="7" t="str">
        <f aca="false">F362&amp;"–"&amp;G362</f>
        <v>0–100</v>
      </c>
      <c r="I362" s="12" t="n">
        <v>11.255</v>
      </c>
      <c r="J362" s="12" t="n">
        <v>0.334</v>
      </c>
      <c r="K362" s="13" t="n">
        <f aca="false">I362-J362</f>
        <v>10.921</v>
      </c>
      <c r="L362" s="14" t="n">
        <f aca="false">IF(I362=0,"",100*J362/I362)</f>
        <v>2.96756996890271</v>
      </c>
      <c r="M362" s="12" t="n">
        <v>12.255</v>
      </c>
      <c r="N362" s="12" t="n">
        <v>0.349</v>
      </c>
      <c r="O362" s="15" t="n">
        <v>0.9184</v>
      </c>
      <c r="P362" s="15" t="n">
        <v>0.957</v>
      </c>
      <c r="Q362" s="11"/>
    </row>
    <row r="363" customFormat="false" ht="15" hidden="false" customHeight="false" outlineLevel="0" collapsed="false">
      <c r="A363" s="7" t="str">
        <f aca="false">D363&amp;"-"&amp;TEXT(E363,"00")&amp;"-"&amp;H363&amp;"-"&amp;B363</f>
        <v>MP-20-100–200-wet</v>
      </c>
      <c r="B363" s="8" t="s">
        <v>71</v>
      </c>
      <c r="C363" s="8" t="s">
        <v>72</v>
      </c>
      <c r="D363" s="8" t="s">
        <v>48</v>
      </c>
      <c r="E363" s="8" t="n">
        <v>20</v>
      </c>
      <c r="F363" s="8" t="n">
        <v>100</v>
      </c>
      <c r="G363" s="8" t="n">
        <v>200</v>
      </c>
      <c r="H363" s="7" t="str">
        <f aca="false">F363&amp;"–"&amp;G363</f>
        <v>100–200</v>
      </c>
      <c r="I363" s="12" t="n">
        <v>7.363</v>
      </c>
      <c r="J363" s="12" t="n">
        <v>0.238</v>
      </c>
      <c r="K363" s="13" t="n">
        <f aca="false">I363-J363</f>
        <v>7.125</v>
      </c>
      <c r="L363" s="14" t="n">
        <f aca="false">IF(I363=0,"",100*J363/I363)</f>
        <v>3.23237810674997</v>
      </c>
      <c r="M363" s="12" t="n">
        <v>7.925</v>
      </c>
      <c r="N363" s="12" t="n">
        <v>0.249</v>
      </c>
      <c r="O363" s="15" t="n">
        <v>0.9291</v>
      </c>
      <c r="P363" s="15" t="n">
        <v>0.957</v>
      </c>
      <c r="Q363" s="11"/>
    </row>
    <row r="364" customFormat="false" ht="15" hidden="false" customHeight="false" outlineLevel="0" collapsed="false">
      <c r="A364" s="7" t="str">
        <f aca="false">D364&amp;"-"&amp;TEXT(E364,"00")&amp;"-"&amp;H364&amp;"-"&amp;B364</f>
        <v>MP-20-200–300-wet</v>
      </c>
      <c r="B364" s="8" t="s">
        <v>71</v>
      </c>
      <c r="C364" s="8" t="s">
        <v>72</v>
      </c>
      <c r="D364" s="8" t="s">
        <v>48</v>
      </c>
      <c r="E364" s="8" t="n">
        <v>20</v>
      </c>
      <c r="F364" s="8" t="n">
        <v>200</v>
      </c>
      <c r="G364" s="8" t="n">
        <v>300</v>
      </c>
      <c r="H364" s="7" t="str">
        <f aca="false">F364&amp;"–"&amp;G364</f>
        <v>200–300</v>
      </c>
      <c r="I364" s="12" t="n">
        <v>10.104</v>
      </c>
      <c r="J364" s="12" t="n">
        <v>0.271</v>
      </c>
      <c r="K364" s="13" t="n">
        <f aca="false">I364-J364</f>
        <v>9.833</v>
      </c>
      <c r="L364" s="14" t="n">
        <f aca="false">IF(I364=0,"",100*J364/I364)</f>
        <v>2.68210609659541</v>
      </c>
      <c r="M364" s="12" t="n">
        <v>10.875</v>
      </c>
      <c r="N364" s="12" t="n">
        <v>0.283</v>
      </c>
      <c r="O364" s="15" t="n">
        <v>0.9291</v>
      </c>
      <c r="P364" s="15" t="n">
        <v>0.957</v>
      </c>
      <c r="Q3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1" min="2" style="0" width="10"/>
  </cols>
  <sheetData>
    <row r="1" customFormat="false" ht="25.5" hidden="false" customHeight="true" outlineLevel="0" collapsed="false">
      <c r="B1" s="1" t="s">
        <v>13</v>
      </c>
    </row>
    <row r="2" customFormat="false" ht="15" hidden="false" customHeight="true" outlineLevel="0" collapsed="false">
      <c r="B2" s="2" t="s">
        <v>75</v>
      </c>
    </row>
    <row r="4" customFormat="false" ht="42" hidden="false" customHeight="true" outlineLevel="0" collapsed="false">
      <c r="A4" s="6" t="s">
        <v>31</v>
      </c>
      <c r="B4" s="6" t="s">
        <v>76</v>
      </c>
      <c r="C4" s="6" t="s">
        <v>77</v>
      </c>
      <c r="D4" s="6" t="s">
        <v>78</v>
      </c>
      <c r="E4" s="6" t="s">
        <v>79</v>
      </c>
      <c r="F4" s="6" t="s">
        <v>80</v>
      </c>
      <c r="G4" s="6" t="s">
        <v>81</v>
      </c>
      <c r="H4" s="6" t="s">
        <v>82</v>
      </c>
      <c r="I4" s="6" t="s">
        <v>83</v>
      </c>
      <c r="J4" s="6" t="s">
        <v>84</v>
      </c>
      <c r="K4" s="6" t="s">
        <v>85</v>
      </c>
      <c r="L4" s="6" t="s">
        <v>86</v>
      </c>
      <c r="M4" s="6" t="s">
        <v>87</v>
      </c>
      <c r="N4" s="6" t="s">
        <v>88</v>
      </c>
      <c r="O4" s="6" t="s">
        <v>89</v>
      </c>
      <c r="P4" s="6" t="s">
        <v>90</v>
      </c>
      <c r="Q4" s="6" t="s">
        <v>91</v>
      </c>
      <c r="R4" s="6" t="s">
        <v>92</v>
      </c>
      <c r="S4" s="6" t="s">
        <v>93</v>
      </c>
      <c r="T4" s="6" t="s">
        <v>94</v>
      </c>
      <c r="U4" s="6" t="s">
        <v>95</v>
      </c>
      <c r="V4" s="6" t="s">
        <v>96</v>
      </c>
      <c r="W4" s="6" t="s">
        <v>97</v>
      </c>
      <c r="X4" s="6" t="s">
        <v>98</v>
      </c>
      <c r="Y4" s="6" t="s">
        <v>99</v>
      </c>
      <c r="Z4" s="6" t="s">
        <v>100</v>
      </c>
      <c r="AA4" s="6" t="s">
        <v>101</v>
      </c>
      <c r="AB4" s="6" t="s">
        <v>102</v>
      </c>
      <c r="AC4" s="6" t="s">
        <v>103</v>
      </c>
      <c r="AD4" s="6" t="s">
        <v>104</v>
      </c>
      <c r="AE4" s="6" t="s">
        <v>105</v>
      </c>
      <c r="AF4" s="6" t="s">
        <v>106</v>
      </c>
      <c r="AG4" s="6" t="s">
        <v>107</v>
      </c>
      <c r="AH4" s="6" t="s">
        <v>108</v>
      </c>
      <c r="AI4" s="6" t="s">
        <v>109</v>
      </c>
      <c r="AJ4" s="6" t="s">
        <v>110</v>
      </c>
      <c r="AK4" s="6" t="s">
        <v>111</v>
      </c>
      <c r="AL4" s="6" t="s">
        <v>112</v>
      </c>
      <c r="AM4" s="6" t="s">
        <v>113</v>
      </c>
      <c r="AN4" s="6" t="s">
        <v>114</v>
      </c>
      <c r="AO4" s="6" t="s">
        <v>115</v>
      </c>
      <c r="AP4" s="6" t="s">
        <v>116</v>
      </c>
      <c r="AQ4" s="6" t="s">
        <v>117</v>
      </c>
      <c r="AR4" s="6" t="s">
        <v>118</v>
      </c>
      <c r="AS4" s="6" t="s">
        <v>119</v>
      </c>
      <c r="AT4" s="6" t="s">
        <v>120</v>
      </c>
      <c r="AU4" s="6" t="s">
        <v>121</v>
      </c>
      <c r="AV4" s="6" t="s">
        <v>122</v>
      </c>
      <c r="AW4" s="6" t="s">
        <v>123</v>
      </c>
      <c r="AX4" s="6" t="s">
        <v>124</v>
      </c>
      <c r="AY4" s="6" t="s">
        <v>125</v>
      </c>
    </row>
    <row r="5" customFormat="false" ht="15" hidden="false" customHeight="false" outlineLevel="0" collapsed="false">
      <c r="A5" s="8" t="s">
        <v>126</v>
      </c>
      <c r="B5" s="15" t="n">
        <v>0.84</v>
      </c>
      <c r="C5" s="15" t="n">
        <v>0.39</v>
      </c>
      <c r="D5" s="15" t="n">
        <v>-0.74</v>
      </c>
      <c r="E5" s="15" t="n">
        <v>0.69</v>
      </c>
      <c r="F5" s="15" t="n">
        <v>0.46</v>
      </c>
      <c r="G5" s="15" t="n">
        <v>-0.69</v>
      </c>
      <c r="H5" s="15" t="n">
        <v>0.171256</v>
      </c>
      <c r="I5" s="15" t="n">
        <v>0.084911</v>
      </c>
      <c r="J5" s="15" t="n">
        <v>0.027013</v>
      </c>
      <c r="K5" s="15" t="n">
        <v>0.046574</v>
      </c>
      <c r="L5" s="15" t="n">
        <v>0.030187</v>
      </c>
      <c r="M5" s="15" t="n">
        <v>0.079339</v>
      </c>
      <c r="N5" s="15" t="n">
        <v>0.19185</v>
      </c>
      <c r="O5" s="15" t="n">
        <v>0.230229</v>
      </c>
      <c r="P5" s="15" t="n">
        <v>0.240761</v>
      </c>
      <c r="Q5" s="15" t="n">
        <v>0.261627</v>
      </c>
      <c r="R5" s="15" t="n">
        <v>-0.140713</v>
      </c>
      <c r="S5" s="15" t="n">
        <v>0.431566</v>
      </c>
      <c r="T5" s="15" t="n">
        <v>0.167924</v>
      </c>
      <c r="U5" s="15" t="n">
        <v>0.53471</v>
      </c>
      <c r="V5" s="15" t="n">
        <v>0.776777</v>
      </c>
      <c r="W5" s="15" t="n">
        <v>-0.675878</v>
      </c>
      <c r="X5" s="15" t="n">
        <v>0.40941</v>
      </c>
      <c r="Y5" s="15" t="n">
        <v>0.226233</v>
      </c>
      <c r="Z5" s="15" t="n">
        <v>0.121312</v>
      </c>
      <c r="AA5" s="15" t="n">
        <v>0.052114</v>
      </c>
      <c r="AB5" s="15" t="n">
        <v>0.071266</v>
      </c>
      <c r="AC5" s="15" t="n">
        <v>0.057918</v>
      </c>
      <c r="AD5" s="15" t="n">
        <v>0.118327</v>
      </c>
      <c r="AE5" s="15" t="n">
        <v>0.208367</v>
      </c>
      <c r="AF5" s="15" t="n">
        <v>0.238286</v>
      </c>
      <c r="AG5" s="15" t="n">
        <v>0.244637</v>
      </c>
      <c r="AH5" s="15" t="n">
        <v>0.266781</v>
      </c>
      <c r="AI5" s="15" t="n">
        <v>-0.017582</v>
      </c>
      <c r="AJ5" s="15" t="n">
        <v>0.390034</v>
      </c>
      <c r="AK5" s="15" t="n">
        <v>0.03733</v>
      </c>
      <c r="AL5" s="15" t="n">
        <v>0.391553</v>
      </c>
      <c r="AM5" s="15" t="n">
        <v>0.629861</v>
      </c>
      <c r="AN5" s="15" t="n">
        <v>-0.563768</v>
      </c>
      <c r="AO5" s="15" t="n">
        <v>0.349051</v>
      </c>
      <c r="AP5" s="15" t="n">
        <v>-0.055007</v>
      </c>
      <c r="AQ5" s="15" t="n">
        <v>0.761562</v>
      </c>
      <c r="AR5" s="15" t="n">
        <v>0.125036</v>
      </c>
      <c r="AS5" s="15" t="n">
        <v>0.673143</v>
      </c>
      <c r="AT5" s="15" t="n">
        <v>0.014572</v>
      </c>
      <c r="AU5" s="15" t="n">
        <v>2.925201</v>
      </c>
      <c r="AV5" s="15" t="n">
        <v>1</v>
      </c>
      <c r="AW5" s="15" t="n">
        <v>104.439575</v>
      </c>
      <c r="AX5" s="15" t="n">
        <v>36.666667</v>
      </c>
      <c r="AY5" s="15" t="n">
        <v>37.766667</v>
      </c>
    </row>
    <row r="6" customFormat="false" ht="15" hidden="false" customHeight="false" outlineLevel="0" collapsed="false">
      <c r="A6" s="8" t="s">
        <v>127</v>
      </c>
      <c r="B6" s="15" t="n">
        <v>0.61</v>
      </c>
      <c r="C6" s="15" t="n">
        <v>0.3</v>
      </c>
      <c r="D6" s="15" t="n">
        <v>-0.61</v>
      </c>
      <c r="E6" s="15" t="n">
        <v>0.55</v>
      </c>
      <c r="F6" s="15" t="n">
        <v>0.38</v>
      </c>
      <c r="G6" s="15" t="n">
        <v>-0.61</v>
      </c>
      <c r="H6" s="15" t="n">
        <v>0.223689</v>
      </c>
      <c r="I6" s="15" t="n">
        <v>0.140834</v>
      </c>
      <c r="J6" s="15" t="n">
        <v>0.044442</v>
      </c>
      <c r="K6" s="15" t="n">
        <v>0.062068</v>
      </c>
      <c r="L6" s="15" t="n">
        <v>0.058406</v>
      </c>
      <c r="M6" s="15" t="n">
        <v>0.104542</v>
      </c>
      <c r="N6" s="15" t="n">
        <v>0.183649</v>
      </c>
      <c r="O6" s="15" t="n">
        <v>0.215381</v>
      </c>
      <c r="P6" s="15" t="n">
        <v>0.216548</v>
      </c>
      <c r="Q6" s="15" t="n">
        <v>0.244334</v>
      </c>
      <c r="R6" s="15" t="n">
        <v>0.038695</v>
      </c>
      <c r="S6" s="15" t="n">
        <v>0.320496</v>
      </c>
      <c r="T6" s="15" t="n">
        <v>-0.016181</v>
      </c>
      <c r="U6" s="15" t="n">
        <v>0.400792</v>
      </c>
      <c r="V6" s="15" t="n">
        <v>0.576315</v>
      </c>
      <c r="W6" s="15" t="n">
        <v>-0.555563</v>
      </c>
      <c r="X6" s="15" t="n">
        <v>0.306242</v>
      </c>
      <c r="Y6" s="15" t="n">
        <v>0.268024</v>
      </c>
      <c r="Z6" s="15" t="n">
        <v>0.170015</v>
      </c>
      <c r="AA6" s="15" t="n">
        <v>0.040026</v>
      </c>
      <c r="AB6" s="15" t="n">
        <v>0.0612</v>
      </c>
      <c r="AC6" s="15" t="n">
        <v>0.066483</v>
      </c>
      <c r="AD6" s="15" t="n">
        <v>0.115958</v>
      </c>
      <c r="AE6" s="15" t="n">
        <v>0.180038</v>
      </c>
      <c r="AF6" s="15" t="n">
        <v>0.209671</v>
      </c>
      <c r="AG6" s="15" t="n">
        <v>0.221731</v>
      </c>
      <c r="AH6" s="15" t="n">
        <v>0.240362</v>
      </c>
      <c r="AI6" s="15" t="n">
        <v>0.120997</v>
      </c>
      <c r="AJ6" s="15" t="n">
        <v>0.294166</v>
      </c>
      <c r="AK6" s="15" t="n">
        <v>-0.094048</v>
      </c>
      <c r="AL6" s="15" t="n">
        <v>0.349826</v>
      </c>
      <c r="AM6" s="15" t="n">
        <v>0.539456</v>
      </c>
      <c r="AN6" s="15" t="n">
        <v>-0.567394</v>
      </c>
      <c r="AO6" s="15" t="n">
        <v>0.295473</v>
      </c>
      <c r="AP6" s="15" t="n">
        <v>0.074091</v>
      </c>
      <c r="AQ6" s="15" t="n">
        <v>0.640035</v>
      </c>
      <c r="AR6" s="15" t="n">
        <v>0.123382</v>
      </c>
      <c r="AS6" s="15" t="n">
        <v>0.505339</v>
      </c>
      <c r="AT6" s="15" t="n">
        <v>0.012806</v>
      </c>
      <c r="AU6" s="15" t="n">
        <v>0.863106</v>
      </c>
      <c r="AV6" s="15" t="n">
        <v>1</v>
      </c>
      <c r="AW6" s="15" t="n">
        <v>103.486534</v>
      </c>
      <c r="AX6" s="15" t="n">
        <v>37.433333</v>
      </c>
      <c r="AY6" s="15" t="n">
        <v>37.433333</v>
      </c>
    </row>
    <row r="7" customFormat="false" ht="15" hidden="false" customHeight="false" outlineLevel="0" collapsed="false">
      <c r="A7" s="8" t="s">
        <v>128</v>
      </c>
      <c r="B7" s="15" t="n">
        <v>0.57</v>
      </c>
      <c r="C7" s="15" t="n">
        <v>0.29</v>
      </c>
      <c r="D7" s="15" t="n">
        <v>-0.59</v>
      </c>
      <c r="E7" s="15" t="n">
        <v>0.47</v>
      </c>
      <c r="F7" s="15" t="n">
        <v>0.33</v>
      </c>
      <c r="G7" s="15" t="n">
        <v>-0.56</v>
      </c>
      <c r="H7" s="15" t="n">
        <v>0.216163</v>
      </c>
      <c r="I7" s="15" t="n">
        <v>0.131673</v>
      </c>
      <c r="J7" s="15" t="n">
        <v>0.047574</v>
      </c>
      <c r="K7" s="15" t="n">
        <v>0.067479</v>
      </c>
      <c r="L7" s="15" t="n">
        <v>0.062459</v>
      </c>
      <c r="M7" s="15" t="n">
        <v>0.102906</v>
      </c>
      <c r="N7" s="15" t="n">
        <v>0.189736</v>
      </c>
      <c r="O7" s="15" t="n">
        <v>0.221456</v>
      </c>
      <c r="P7" s="15" t="n">
        <v>0.226911</v>
      </c>
      <c r="Q7" s="15" t="n">
        <v>0.252115</v>
      </c>
      <c r="R7" s="15" t="n">
        <v>0.00758</v>
      </c>
      <c r="S7" s="15" t="n">
        <v>0.330404</v>
      </c>
      <c r="T7" s="15" t="n">
        <v>0.024248</v>
      </c>
      <c r="U7" s="15" t="n">
        <v>0.420232</v>
      </c>
      <c r="V7" s="15" t="n">
        <v>0.569999</v>
      </c>
      <c r="W7" s="15" t="n">
        <v>-0.542297</v>
      </c>
      <c r="X7" s="15" t="n">
        <v>0.312725</v>
      </c>
      <c r="Y7" s="15" t="n">
        <v>0.252107</v>
      </c>
      <c r="Z7" s="15" t="n">
        <v>0.146868</v>
      </c>
      <c r="AA7" s="15" t="n">
        <v>0.043566</v>
      </c>
      <c r="AB7" s="15" t="n">
        <v>0.064165</v>
      </c>
      <c r="AC7" s="15" t="n">
        <v>0.068529</v>
      </c>
      <c r="AD7" s="15" t="n">
        <v>0.118174</v>
      </c>
      <c r="AE7" s="15" t="n">
        <v>0.188344</v>
      </c>
      <c r="AF7" s="15" t="n">
        <v>0.213812</v>
      </c>
      <c r="AG7" s="15" t="n">
        <v>0.222011</v>
      </c>
      <c r="AH7" s="15" t="n">
        <v>0.249957</v>
      </c>
      <c r="AI7" s="15" t="n">
        <v>0.094061</v>
      </c>
      <c r="AJ7" s="15" t="n">
        <v>0.293788</v>
      </c>
      <c r="AK7" s="15" t="n">
        <v>-0.063436</v>
      </c>
      <c r="AL7" s="15" t="n">
        <v>0.358082</v>
      </c>
      <c r="AM7" s="15" t="n">
        <v>0.530107</v>
      </c>
      <c r="AN7" s="15" t="n">
        <v>-0.552263</v>
      </c>
      <c r="AO7" s="15" t="n">
        <v>0.291481</v>
      </c>
      <c r="AP7" s="15" t="n">
        <v>0.056659</v>
      </c>
      <c r="AQ7" s="15" t="n">
        <v>0.633362</v>
      </c>
      <c r="AR7" s="15" t="n">
        <v>0.134339</v>
      </c>
      <c r="AS7" s="15" t="n">
        <v>0.508965</v>
      </c>
      <c r="AT7" s="15" t="n">
        <v>0.014063</v>
      </c>
      <c r="AU7" s="15" t="n">
        <v>-0.437973</v>
      </c>
      <c r="AV7" s="15" t="n">
        <v>2</v>
      </c>
      <c r="AW7" s="15" t="n">
        <v>101.040634</v>
      </c>
      <c r="AX7" s="15" t="n">
        <v>36.5</v>
      </c>
      <c r="AY7" s="15" t="n">
        <v>37.2</v>
      </c>
    </row>
    <row r="8" customFormat="false" ht="15" hidden="false" customHeight="false" outlineLevel="0" collapsed="false">
      <c r="A8" s="8" t="s">
        <v>129</v>
      </c>
      <c r="B8" s="15" t="n">
        <v>0.67</v>
      </c>
      <c r="C8" s="15" t="n">
        <v>0.32</v>
      </c>
      <c r="D8" s="15" t="n">
        <v>-0.64</v>
      </c>
      <c r="E8" s="15" t="n">
        <v>0.5</v>
      </c>
      <c r="F8" s="15" t="n">
        <v>0.35</v>
      </c>
      <c r="G8" s="15" t="n">
        <v>-0.59</v>
      </c>
      <c r="H8" s="15" t="n">
        <v>0.210678</v>
      </c>
      <c r="I8" s="15" t="n">
        <v>0.128425</v>
      </c>
      <c r="J8" s="15" t="n">
        <v>0.035</v>
      </c>
      <c r="K8" s="15" t="n">
        <v>0.053433</v>
      </c>
      <c r="L8" s="15" t="n">
        <v>0.043944</v>
      </c>
      <c r="M8" s="15" t="n">
        <v>0.099162</v>
      </c>
      <c r="N8" s="15" t="n">
        <v>0.187128</v>
      </c>
      <c r="O8" s="15" t="n">
        <v>0.21792</v>
      </c>
      <c r="P8" s="15" t="n">
        <v>0.217928</v>
      </c>
      <c r="Q8" s="15" t="n">
        <v>0.247358</v>
      </c>
      <c r="R8" s="15" t="n">
        <v>0.002703</v>
      </c>
      <c r="S8" s="15" t="n">
        <v>0.356914</v>
      </c>
      <c r="T8" s="15" t="n">
        <v>0.016986</v>
      </c>
      <c r="U8" s="15" t="n">
        <v>0.42819</v>
      </c>
      <c r="V8" s="15" t="n">
        <v>0.66492</v>
      </c>
      <c r="W8" s="15" t="n">
        <v>-0.605967</v>
      </c>
      <c r="X8" s="15" t="n">
        <v>0.34256</v>
      </c>
      <c r="Y8" s="15" t="n">
        <v>0.260518</v>
      </c>
      <c r="Z8" s="15" t="n">
        <v>0.163093</v>
      </c>
      <c r="AA8" s="15" t="n">
        <v>0.037213</v>
      </c>
      <c r="AB8" s="15" t="n">
        <v>0.056169</v>
      </c>
      <c r="AC8" s="15" t="n">
        <v>0.057481</v>
      </c>
      <c r="AD8" s="15" t="n">
        <v>0.114413</v>
      </c>
      <c r="AE8" s="15" t="n">
        <v>0.185075</v>
      </c>
      <c r="AF8" s="15" t="n">
        <v>0.211807</v>
      </c>
      <c r="AG8" s="15" t="n">
        <v>0.218038</v>
      </c>
      <c r="AH8" s="15" t="n">
        <v>0.249828</v>
      </c>
      <c r="AI8" s="15" t="n">
        <v>0.109329</v>
      </c>
      <c r="AJ8" s="15" t="n">
        <v>0.312822</v>
      </c>
      <c r="AK8" s="15" t="n">
        <v>-0.088991</v>
      </c>
      <c r="AL8" s="15" t="n">
        <v>0.371902</v>
      </c>
      <c r="AM8" s="15" t="n">
        <v>0.582684</v>
      </c>
      <c r="AN8" s="15" t="n">
        <v>-0.590129</v>
      </c>
      <c r="AO8" s="15" t="n">
        <v>0.310483</v>
      </c>
      <c r="AP8" s="15" t="n">
        <v>0.050144</v>
      </c>
      <c r="AQ8" s="15" t="n">
        <v>0.680194</v>
      </c>
      <c r="AR8" s="15" t="n">
        <v>0.130506</v>
      </c>
      <c r="AS8" s="15" t="n">
        <v>0.580802</v>
      </c>
      <c r="AT8" s="15" t="n">
        <v>0.015896</v>
      </c>
      <c r="AU8" s="15" t="n">
        <v>-0.291847</v>
      </c>
      <c r="AV8" s="15" t="n">
        <v>2</v>
      </c>
      <c r="AW8" s="15" t="n">
        <v>102.051086</v>
      </c>
      <c r="AX8" s="15" t="n">
        <v>37.966667</v>
      </c>
      <c r="AY8" s="15" t="n">
        <v>36.466667</v>
      </c>
    </row>
    <row r="9" customFormat="false" ht="15" hidden="false" customHeight="false" outlineLevel="0" collapsed="false">
      <c r="A9" s="8" t="s">
        <v>130</v>
      </c>
      <c r="B9" s="15" t="n">
        <v>0.67</v>
      </c>
      <c r="C9" s="15" t="n">
        <v>0.32</v>
      </c>
      <c r="D9" s="15" t="n">
        <v>-0.64</v>
      </c>
      <c r="E9" s="15" t="n">
        <v>0.55</v>
      </c>
      <c r="F9" s="15" t="n">
        <v>0.38</v>
      </c>
      <c r="G9" s="15" t="n">
        <v>-0.61</v>
      </c>
      <c r="H9" s="15" t="n">
        <v>0.210959</v>
      </c>
      <c r="I9" s="15" t="n">
        <v>0.125618</v>
      </c>
      <c r="J9" s="15" t="n">
        <v>0.039003</v>
      </c>
      <c r="K9" s="15" t="n">
        <v>0.056945</v>
      </c>
      <c r="L9" s="15" t="n">
        <v>0.050336</v>
      </c>
      <c r="M9" s="15" t="n">
        <v>0.097522</v>
      </c>
      <c r="N9" s="15" t="n">
        <v>0.184092</v>
      </c>
      <c r="O9" s="15" t="n">
        <v>0.21556</v>
      </c>
      <c r="P9" s="15" t="n">
        <v>0.216615</v>
      </c>
      <c r="Q9" s="15" t="n">
        <v>0.242955</v>
      </c>
      <c r="R9" s="15" t="n">
        <v>0.009652</v>
      </c>
      <c r="S9" s="15" t="n">
        <v>0.339015</v>
      </c>
      <c r="T9" s="15" t="n">
        <v>0.013824</v>
      </c>
      <c r="U9" s="15" t="n">
        <v>0.427989</v>
      </c>
      <c r="V9" s="15" t="n">
        <v>0.623578</v>
      </c>
      <c r="W9" s="15" t="n">
        <v>-0.583735</v>
      </c>
      <c r="X9" s="15" t="n">
        <v>0.325175</v>
      </c>
      <c r="Y9" s="15" t="n">
        <v>0.255023</v>
      </c>
      <c r="Z9" s="15" t="n">
        <v>0.17878</v>
      </c>
      <c r="AA9" s="15" t="n">
        <v>0.042021</v>
      </c>
      <c r="AB9" s="15" t="n">
        <v>0.05757</v>
      </c>
      <c r="AC9" s="15" t="n">
        <v>0.068755</v>
      </c>
      <c r="AD9" s="15" t="n">
        <v>0.106511</v>
      </c>
      <c r="AE9" s="15" t="n">
        <v>0.160121</v>
      </c>
      <c r="AF9" s="15" t="n">
        <v>0.187628</v>
      </c>
      <c r="AG9" s="15" t="n">
        <v>0.176633</v>
      </c>
      <c r="AH9" s="15" t="n">
        <v>0.218059</v>
      </c>
      <c r="AI9" s="15" t="n">
        <v>0.191609</v>
      </c>
      <c r="AJ9" s="15" t="n">
        <v>0.211223</v>
      </c>
      <c r="AK9" s="15" t="n">
        <v>-0.181092</v>
      </c>
      <c r="AL9" s="15" t="n">
        <v>0.342477</v>
      </c>
      <c r="AM9" s="15" t="n">
        <v>0.438538</v>
      </c>
      <c r="AN9" s="15" t="n">
        <v>-0.506099</v>
      </c>
      <c r="AO9" s="15" t="n">
        <v>0.216761</v>
      </c>
      <c r="AP9" s="15" t="n">
        <v>0.040574</v>
      </c>
      <c r="AQ9" s="15" t="n">
        <v>0.665375</v>
      </c>
      <c r="AR9" s="15" t="n">
        <v>0.130927</v>
      </c>
      <c r="AS9" s="15" t="n">
        <v>0.552051</v>
      </c>
      <c r="AT9" s="15" t="n">
        <v>0.01358</v>
      </c>
      <c r="AU9" s="15" t="n">
        <v>1.648247</v>
      </c>
      <c r="AV9" s="15" t="n">
        <v>3</v>
      </c>
      <c r="AW9" s="15" t="n">
        <v>104.136467</v>
      </c>
      <c r="AX9" s="15" t="n">
        <v>37.433333</v>
      </c>
      <c r="AY9" s="15" t="n">
        <v>37.433333</v>
      </c>
    </row>
    <row r="10" customFormat="false" ht="15" hidden="false" customHeight="false" outlineLevel="0" collapsed="false">
      <c r="A10" s="8" t="s">
        <v>131</v>
      </c>
      <c r="B10" s="15" t="n">
        <v>0.59</v>
      </c>
      <c r="C10" s="15" t="n">
        <v>0.28</v>
      </c>
      <c r="D10" s="15" t="n">
        <v>-0.57</v>
      </c>
      <c r="E10" s="15" t="n">
        <v>0.51</v>
      </c>
      <c r="F10" s="15" t="n">
        <v>0.36</v>
      </c>
      <c r="G10" s="15" t="n">
        <v>-0.59</v>
      </c>
      <c r="H10" s="15" t="n">
        <v>0.256909</v>
      </c>
      <c r="I10" s="15" t="n">
        <v>0.186648</v>
      </c>
      <c r="J10" s="15" t="n">
        <v>0.057788</v>
      </c>
      <c r="K10" s="15" t="n">
        <v>0.079468</v>
      </c>
      <c r="L10" s="15" t="n">
        <v>0.083001</v>
      </c>
      <c r="M10" s="15" t="n">
        <v>0.126736</v>
      </c>
      <c r="N10" s="15" t="n">
        <v>0.19059</v>
      </c>
      <c r="O10" s="15" t="n">
        <v>0.216486</v>
      </c>
      <c r="P10" s="15" t="n">
        <v>0.224432</v>
      </c>
      <c r="Q10" s="15" t="n">
        <v>0.24603</v>
      </c>
      <c r="R10" s="15" t="n">
        <v>0.093049</v>
      </c>
      <c r="S10" s="15" t="n">
        <v>0.274309</v>
      </c>
      <c r="T10" s="15" t="n">
        <v>-0.067558</v>
      </c>
      <c r="U10" s="15" t="n">
        <v>0.320177</v>
      </c>
      <c r="V10" s="15" t="n">
        <v>0.460985</v>
      </c>
      <c r="W10" s="15" t="n">
        <v>-0.477846</v>
      </c>
      <c r="X10" s="15" t="n">
        <v>0.262844</v>
      </c>
      <c r="Y10" s="15" t="n">
        <v>0.296448</v>
      </c>
      <c r="Z10" s="15" t="n">
        <v>0.191612</v>
      </c>
      <c r="AA10" s="15" t="n">
        <v>0.048969</v>
      </c>
      <c r="AB10" s="15" t="n">
        <v>0.07191</v>
      </c>
      <c r="AC10" s="15" t="n">
        <v>0.084138</v>
      </c>
      <c r="AD10" s="15" t="n">
        <v>0.12788</v>
      </c>
      <c r="AE10" s="15" t="n">
        <v>0.173074</v>
      </c>
      <c r="AF10" s="15" t="n">
        <v>0.189815</v>
      </c>
      <c r="AG10" s="15" t="n">
        <v>0.205508</v>
      </c>
      <c r="AH10" s="15" t="n">
        <v>0.225229</v>
      </c>
      <c r="AI10" s="15" t="n">
        <v>0.199244</v>
      </c>
      <c r="AJ10" s="15" t="n">
        <v>0.225808</v>
      </c>
      <c r="AK10" s="15" t="n">
        <v>-0.181566</v>
      </c>
      <c r="AL10" s="15" t="n">
        <v>0.276317</v>
      </c>
      <c r="AM10" s="15" t="n">
        <v>0.418216</v>
      </c>
      <c r="AN10" s="15" t="n">
        <v>-0.481517</v>
      </c>
      <c r="AO10" s="15" t="n">
        <v>0.229956</v>
      </c>
      <c r="AP10" s="15" t="n">
        <v>0.133359</v>
      </c>
      <c r="AQ10" s="15" t="n">
        <v>0.547217</v>
      </c>
      <c r="AR10" s="15" t="n">
        <v>0.140025</v>
      </c>
      <c r="AS10" s="15" t="n">
        <v>0.409495</v>
      </c>
      <c r="AT10" s="15" t="n">
        <v>0.085258</v>
      </c>
      <c r="AU10" s="15" t="n">
        <v>-0.189789</v>
      </c>
      <c r="AV10" s="15" t="n">
        <v>0</v>
      </c>
      <c r="AW10" s="15" t="n">
        <v>102.115448</v>
      </c>
      <c r="AX10" s="15" t="n">
        <v>36.4</v>
      </c>
      <c r="AY10" s="15" t="n">
        <v>37</v>
      </c>
    </row>
    <row r="11" customFormat="false" ht="15" hidden="false" customHeight="false" outlineLevel="0" collapsed="false">
      <c r="A11" s="8" t="s">
        <v>132</v>
      </c>
      <c r="B11" s="15" t="n">
        <v>0.68</v>
      </c>
      <c r="C11" s="15" t="n">
        <v>0.32</v>
      </c>
      <c r="D11" s="15" t="n">
        <v>-0.63</v>
      </c>
      <c r="E11" s="15" t="n">
        <v>0.55</v>
      </c>
      <c r="F11" s="15" t="n">
        <v>0.38</v>
      </c>
      <c r="G11" s="15" t="n">
        <v>-0.61</v>
      </c>
      <c r="H11" s="15" t="n">
        <v>0.226973</v>
      </c>
      <c r="I11" s="15" t="n">
        <v>0.13855</v>
      </c>
      <c r="J11" s="15" t="n">
        <v>0.039687</v>
      </c>
      <c r="K11" s="15" t="n">
        <v>0.059943</v>
      </c>
      <c r="L11" s="15" t="n">
        <v>0.051446</v>
      </c>
      <c r="M11" s="15" t="n">
        <v>0.105124</v>
      </c>
      <c r="N11" s="15" t="n">
        <v>0.191563</v>
      </c>
      <c r="O11" s="15" t="n">
        <v>0.222917</v>
      </c>
      <c r="P11" s="15" t="n">
        <v>0.232027</v>
      </c>
      <c r="Q11" s="15" t="n">
        <v>0.251526</v>
      </c>
      <c r="R11" s="15" t="n">
        <v>0.01122</v>
      </c>
      <c r="S11" s="15" t="n">
        <v>0.363198</v>
      </c>
      <c r="T11" s="15" t="n">
        <v>0.011689</v>
      </c>
      <c r="U11" s="15" t="n">
        <v>0.412635</v>
      </c>
      <c r="V11" s="15" t="n">
        <v>0.638013</v>
      </c>
      <c r="W11" s="15" t="n">
        <v>-0.589689</v>
      </c>
      <c r="X11" s="15" t="n">
        <v>0.345774</v>
      </c>
      <c r="Y11" s="15" t="n">
        <v>0.269149</v>
      </c>
      <c r="Z11" s="15" t="n">
        <v>0.16379</v>
      </c>
      <c r="AA11" s="15" t="n">
        <v>0.039755</v>
      </c>
      <c r="AB11" s="15" t="n">
        <v>0.064155</v>
      </c>
      <c r="AC11" s="15" t="n">
        <v>0.06815</v>
      </c>
      <c r="AD11" s="15" t="n">
        <v>0.120621</v>
      </c>
      <c r="AE11" s="15" t="n">
        <v>0.181665</v>
      </c>
      <c r="AF11" s="15" t="n">
        <v>0.20071</v>
      </c>
      <c r="AG11" s="15" t="n">
        <v>0.214224</v>
      </c>
      <c r="AH11" s="15" t="n">
        <v>0.236204</v>
      </c>
      <c r="AI11" s="15" t="n">
        <v>0.140505</v>
      </c>
      <c r="AJ11" s="15" t="n">
        <v>0.276406</v>
      </c>
      <c r="AK11" s="15" t="n">
        <v>-0.113026</v>
      </c>
      <c r="AL11" s="15" t="n">
        <v>0.327333</v>
      </c>
      <c r="AM11" s="15" t="n">
        <v>0.522683</v>
      </c>
      <c r="AN11" s="15" t="n">
        <v>-0.54427</v>
      </c>
      <c r="AO11" s="15" t="n">
        <v>0.280389</v>
      </c>
      <c r="AP11" s="15" t="n">
        <v>0.06641</v>
      </c>
      <c r="AQ11" s="15" t="n">
        <v>0.627885</v>
      </c>
      <c r="AR11" s="15" t="n">
        <v>0.147881</v>
      </c>
      <c r="AS11" s="15" t="n">
        <v>0.53355</v>
      </c>
      <c r="AT11" s="15" t="n">
        <v>0.044329</v>
      </c>
      <c r="AU11" s="15" t="n">
        <v>0.186272</v>
      </c>
      <c r="AV11" s="15" t="n">
        <v>0</v>
      </c>
      <c r="AW11" s="15" t="n">
        <v>101.834595</v>
      </c>
      <c r="AX11" s="15" t="n">
        <v>38.533333</v>
      </c>
      <c r="AY11" s="15" t="n">
        <v>34.3</v>
      </c>
    </row>
    <row r="12" customFormat="false" ht="15" hidden="false" customHeight="false" outlineLevel="0" collapsed="false">
      <c r="A12" s="8" t="s">
        <v>133</v>
      </c>
      <c r="B12" s="15" t="n">
        <v>0.7</v>
      </c>
      <c r="C12" s="15" t="n">
        <v>0.33</v>
      </c>
      <c r="D12" s="15" t="n">
        <v>-0.65</v>
      </c>
      <c r="E12" s="15" t="n">
        <v>0.55</v>
      </c>
      <c r="F12" s="15" t="n">
        <v>0.39</v>
      </c>
      <c r="G12" s="15" t="n">
        <v>-0.62</v>
      </c>
      <c r="H12" s="15" t="n">
        <v>0.210471</v>
      </c>
      <c r="I12" s="15" t="n">
        <v>0.125039</v>
      </c>
      <c r="J12" s="15" t="n">
        <v>0.035624</v>
      </c>
      <c r="K12" s="15" t="n">
        <v>0.055089</v>
      </c>
      <c r="L12" s="15" t="n">
        <v>0.047476</v>
      </c>
      <c r="M12" s="15" t="n">
        <v>0.095024</v>
      </c>
      <c r="N12" s="15" t="n">
        <v>0.182944</v>
      </c>
      <c r="O12" s="15" t="n">
        <v>0.213792</v>
      </c>
      <c r="P12" s="15" t="n">
        <v>0.21982</v>
      </c>
      <c r="Q12" s="15" t="n">
        <v>0.242716</v>
      </c>
      <c r="R12" s="15" t="n">
        <v>0.004812</v>
      </c>
      <c r="S12" s="15" t="n">
        <v>0.348225</v>
      </c>
      <c r="T12" s="15" t="n">
        <v>0.021769</v>
      </c>
      <c r="U12" s="15" t="n">
        <v>0.437298</v>
      </c>
      <c r="V12" s="15" t="n">
        <v>0.645042</v>
      </c>
      <c r="W12" s="15" t="n">
        <v>-0.599272</v>
      </c>
      <c r="X12" s="15" t="n">
        <v>0.336942</v>
      </c>
      <c r="Y12" s="15" t="n">
        <v>0.349593</v>
      </c>
      <c r="Z12" s="15" t="n">
        <v>0.254015</v>
      </c>
      <c r="AA12" s="15" t="n">
        <v>0.111036</v>
      </c>
      <c r="AB12" s="15" t="n">
        <v>0.147587</v>
      </c>
      <c r="AC12" s="15" t="n">
        <v>0.171772</v>
      </c>
      <c r="AD12" s="15" t="n">
        <v>0.222329</v>
      </c>
      <c r="AE12" s="15" t="n">
        <v>0.278903</v>
      </c>
      <c r="AF12" s="15" t="n">
        <v>0.299532</v>
      </c>
      <c r="AG12" s="15" t="n">
        <v>0.279922</v>
      </c>
      <c r="AH12" s="15" t="n">
        <v>0.328001</v>
      </c>
      <c r="AI12" s="15" t="n">
        <v>0.142702</v>
      </c>
      <c r="AJ12" s="15" t="n">
        <v>0.183741</v>
      </c>
      <c r="AK12" s="15" t="n">
        <v>-0.110289</v>
      </c>
      <c r="AL12" s="15" t="n">
        <v>0.198138</v>
      </c>
      <c r="AM12" s="15" t="n">
        <v>0.249297</v>
      </c>
      <c r="AN12" s="15" t="n">
        <v>-0.318526</v>
      </c>
      <c r="AO12" s="15" t="n">
        <v>0.172373</v>
      </c>
      <c r="AP12" s="15" t="n">
        <v>0.048427</v>
      </c>
      <c r="AQ12" s="15" t="n">
        <v>0.65956</v>
      </c>
      <c r="AR12" s="15" t="n">
        <v>0.141294</v>
      </c>
      <c r="AS12" s="15" t="n">
        <v>0.534472</v>
      </c>
      <c r="AT12" s="15" t="n">
        <v>0.028005</v>
      </c>
      <c r="AU12" s="15" t="n">
        <v>0.959091</v>
      </c>
      <c r="AV12" s="15" t="n">
        <v>2</v>
      </c>
      <c r="AW12" s="15" t="n">
        <v>103.268044</v>
      </c>
      <c r="AX12" s="15" t="n">
        <v>37.433333</v>
      </c>
      <c r="AY12" s="15" t="n">
        <v>37.433333</v>
      </c>
    </row>
    <row r="13" customFormat="false" ht="15" hidden="false" customHeight="false" outlineLevel="0" collapsed="false">
      <c r="A13" s="8" t="s">
        <v>134</v>
      </c>
      <c r="B13" s="15" t="n">
        <v>0.5</v>
      </c>
      <c r="C13" s="15" t="n">
        <v>0.25</v>
      </c>
      <c r="D13" s="15" t="n">
        <v>-0.54</v>
      </c>
      <c r="E13" s="15" t="n">
        <v>0.55</v>
      </c>
      <c r="F13" s="15" t="n">
        <v>0.38</v>
      </c>
      <c r="G13" s="15" t="n">
        <v>-0.61</v>
      </c>
      <c r="H13" s="15" t="n">
        <v>0.236889</v>
      </c>
      <c r="I13" s="15" t="n">
        <v>0.151888</v>
      </c>
      <c r="J13" s="15" t="n">
        <v>0.045584</v>
      </c>
      <c r="K13" s="15" t="n">
        <v>0.067044</v>
      </c>
      <c r="L13" s="15" t="n">
        <v>0.064313</v>
      </c>
      <c r="M13" s="15" t="n">
        <v>0.11053</v>
      </c>
      <c r="N13" s="15" t="n">
        <v>0.188762</v>
      </c>
      <c r="O13" s="15" t="n">
        <v>0.215931</v>
      </c>
      <c r="P13" s="15" t="n">
        <v>0.219885</v>
      </c>
      <c r="Q13" s="15" t="n">
        <v>0.244639</v>
      </c>
      <c r="R13" s="15" t="n">
        <v>0.063048</v>
      </c>
      <c r="S13" s="15" t="n">
        <v>0.307773</v>
      </c>
      <c r="T13" s="15" t="n">
        <v>-0.03725</v>
      </c>
      <c r="U13" s="15" t="n">
        <v>0.377623</v>
      </c>
      <c r="V13" s="15" t="n">
        <v>0.547757</v>
      </c>
      <c r="W13" s="15" t="n">
        <v>-0.532856</v>
      </c>
      <c r="X13" s="15" t="n">
        <v>0.297624</v>
      </c>
      <c r="Y13" s="15" t="n">
        <v>0.27812</v>
      </c>
      <c r="Z13" s="15" t="n">
        <v>0.177588</v>
      </c>
      <c r="AA13" s="15" t="n">
        <v>0.042195</v>
      </c>
      <c r="AB13" s="15" t="n">
        <v>0.062716</v>
      </c>
      <c r="AC13" s="15" t="n">
        <v>0.071461</v>
      </c>
      <c r="AD13" s="15" t="n">
        <v>0.114299</v>
      </c>
      <c r="AE13" s="15" t="n">
        <v>0.166144</v>
      </c>
      <c r="AF13" s="15" t="n">
        <v>0.182762</v>
      </c>
      <c r="AG13" s="15" t="n">
        <v>0.185917</v>
      </c>
      <c r="AH13" s="15" t="n">
        <v>0.215783</v>
      </c>
      <c r="AI13" s="15" t="n">
        <v>0.210166</v>
      </c>
      <c r="AJ13" s="15" t="n">
        <v>0.220137</v>
      </c>
      <c r="AK13" s="15" t="n">
        <v>-0.198659</v>
      </c>
      <c r="AL13" s="15" t="n">
        <v>0.307389</v>
      </c>
      <c r="AM13" s="15" t="n">
        <v>0.444213</v>
      </c>
      <c r="AN13" s="15" t="n">
        <v>-0.495085</v>
      </c>
      <c r="AO13" s="15" t="n">
        <v>0.226566</v>
      </c>
      <c r="AP13" s="15" t="n">
        <v>0.122767</v>
      </c>
      <c r="AQ13" s="15" t="n">
        <v>0.579051</v>
      </c>
      <c r="AR13" s="15" t="n">
        <v>0.136396</v>
      </c>
      <c r="AS13" s="15" t="n">
        <v>0.428452</v>
      </c>
      <c r="AT13" s="15" t="n">
        <v>0.05674</v>
      </c>
      <c r="AU13" s="15" t="n">
        <v>-0.049347</v>
      </c>
      <c r="AV13" s="15" t="n">
        <v>1</v>
      </c>
      <c r="AW13" s="15" t="n">
        <v>101.454514</v>
      </c>
      <c r="AX13" s="15" t="n">
        <v>36.4</v>
      </c>
      <c r="AY13" s="15" t="n">
        <v>37</v>
      </c>
    </row>
    <row r="14" customFormat="false" ht="15" hidden="false" customHeight="false" outlineLevel="0" collapsed="false">
      <c r="A14" s="8" t="s">
        <v>135</v>
      </c>
      <c r="B14" s="15" t="n">
        <v>0.74</v>
      </c>
      <c r="C14" s="15" t="n">
        <v>0.34</v>
      </c>
      <c r="D14" s="15" t="n">
        <v>-0.68</v>
      </c>
      <c r="E14" s="15" t="n">
        <v>0.55</v>
      </c>
      <c r="F14" s="15" t="n">
        <v>0.38</v>
      </c>
      <c r="G14" s="15" t="n">
        <v>-0.61</v>
      </c>
      <c r="H14" s="15" t="n">
        <v>0.233195</v>
      </c>
      <c r="I14" s="15" t="n">
        <v>0.150736</v>
      </c>
      <c r="J14" s="15" t="n">
        <v>0.040314</v>
      </c>
      <c r="K14" s="15" t="n">
        <v>0.058976</v>
      </c>
      <c r="L14" s="15" t="n">
        <v>0.0536</v>
      </c>
      <c r="M14" s="15" t="n">
        <v>0.103244</v>
      </c>
      <c r="N14" s="15" t="n">
        <v>0.179864</v>
      </c>
      <c r="O14" s="15" t="n">
        <v>0.207595</v>
      </c>
      <c r="P14" s="15" t="n">
        <v>0.214331</v>
      </c>
      <c r="Q14" s="15" t="n">
        <v>0.238674</v>
      </c>
      <c r="R14" s="15" t="n">
        <v>0.059675</v>
      </c>
      <c r="S14" s="15" t="n">
        <v>0.325701</v>
      </c>
      <c r="T14" s="15" t="n">
        <v>-0.042514</v>
      </c>
      <c r="U14" s="15" t="n">
        <v>0.396535</v>
      </c>
      <c r="V14" s="15" t="n">
        <v>0.599425</v>
      </c>
      <c r="W14" s="15" t="n">
        <v>-0.567922</v>
      </c>
      <c r="X14" s="15" t="n">
        <v>0.31375</v>
      </c>
      <c r="Y14" s="15" t="n">
        <v>0.291122</v>
      </c>
      <c r="Z14" s="15" t="n">
        <v>0.193991</v>
      </c>
      <c r="AA14" s="15" t="n">
        <v>0.053449</v>
      </c>
      <c r="AB14" s="15" t="n">
        <v>0.076168</v>
      </c>
      <c r="AC14" s="15" t="n">
        <v>0.083489</v>
      </c>
      <c r="AD14" s="15" t="n">
        <v>0.136212</v>
      </c>
      <c r="AE14" s="15" t="n">
        <v>0.197164</v>
      </c>
      <c r="AF14" s="15" t="n">
        <v>0.21593</v>
      </c>
      <c r="AG14" s="15" t="n">
        <v>0.220641</v>
      </c>
      <c r="AH14" s="15" t="n">
        <v>0.250573</v>
      </c>
      <c r="AI14" s="15" t="n">
        <v>0.154978</v>
      </c>
      <c r="AJ14" s="15" t="n">
        <v>0.261102</v>
      </c>
      <c r="AK14" s="15" t="n">
        <v>-0.137113</v>
      </c>
      <c r="AL14" s="15" t="n">
        <v>0.30466</v>
      </c>
      <c r="AM14" s="15" t="n">
        <v>0.483249</v>
      </c>
      <c r="AN14" s="15" t="n">
        <v>-0.51001</v>
      </c>
      <c r="AO14" s="15" t="n">
        <v>0.260571</v>
      </c>
      <c r="AP14" s="15" t="n">
        <v>0.079058</v>
      </c>
      <c r="AQ14" s="15" t="n">
        <v>0.644773</v>
      </c>
      <c r="AR14" s="15" t="n">
        <v>0.139389</v>
      </c>
      <c r="AS14" s="15" t="n">
        <v>0.522755</v>
      </c>
      <c r="AT14" s="15" t="n">
        <v>0.031966</v>
      </c>
      <c r="AU14" s="15" t="n">
        <v>-0.37867</v>
      </c>
      <c r="AV14" s="15" t="n">
        <v>2</v>
      </c>
      <c r="AW14" s="15" t="n">
        <v>101.026817</v>
      </c>
      <c r="AX14" s="15" t="n">
        <v>36.4</v>
      </c>
      <c r="AY14" s="15" t="n">
        <v>37</v>
      </c>
    </row>
    <row r="15" customFormat="false" ht="15" hidden="false" customHeight="false" outlineLevel="0" collapsed="false">
      <c r="A15" s="8" t="s">
        <v>136</v>
      </c>
      <c r="B15" s="15" t="n">
        <v>0.6</v>
      </c>
      <c r="C15" s="15" t="n">
        <v>0.31</v>
      </c>
      <c r="D15" s="15" t="n">
        <v>-0.62</v>
      </c>
      <c r="E15" s="15" t="n">
        <v>0.54</v>
      </c>
      <c r="F15" s="15" t="n">
        <v>0.38</v>
      </c>
      <c r="G15" s="15" t="n">
        <v>-0.6</v>
      </c>
      <c r="H15" s="15" t="n">
        <v>0.228116</v>
      </c>
      <c r="I15" s="15" t="n">
        <v>0.140632</v>
      </c>
      <c r="J15" s="15" t="n">
        <v>0.0415</v>
      </c>
      <c r="K15" s="15" t="n">
        <v>0.060415</v>
      </c>
      <c r="L15" s="15" t="n">
        <v>0.060019</v>
      </c>
      <c r="M15" s="15" t="n">
        <v>0.103403</v>
      </c>
      <c r="N15" s="15" t="n">
        <v>0.176974</v>
      </c>
      <c r="O15" s="15" t="n">
        <v>0.208984</v>
      </c>
      <c r="P15" s="15" t="n">
        <v>0.212592</v>
      </c>
      <c r="Q15" s="15" t="n">
        <v>0.238484</v>
      </c>
      <c r="R15" s="15" t="n">
        <v>0.062713</v>
      </c>
      <c r="S15" s="15" t="n">
        <v>0.302374</v>
      </c>
      <c r="T15" s="15" t="n">
        <v>-0.035136</v>
      </c>
      <c r="U15" s="15" t="n">
        <v>0.39509</v>
      </c>
      <c r="V15" s="15" t="n">
        <v>0.560139</v>
      </c>
      <c r="W15" s="15" t="n">
        <v>-0.557716</v>
      </c>
      <c r="X15" s="15" t="n">
        <v>0.296255</v>
      </c>
      <c r="Y15" s="15" t="n">
        <v>0.277617</v>
      </c>
      <c r="Z15" s="15" t="n">
        <v>0.162199</v>
      </c>
      <c r="AA15" s="15" t="n">
        <v>0.039379</v>
      </c>
      <c r="AB15" s="15" t="n">
        <v>0.060697</v>
      </c>
      <c r="AC15" s="15" t="n">
        <v>0.068348</v>
      </c>
      <c r="AD15" s="15" t="n">
        <v>0.113154</v>
      </c>
      <c r="AE15" s="15" t="n">
        <v>0.167733</v>
      </c>
      <c r="AF15" s="15" t="n">
        <v>0.192339</v>
      </c>
      <c r="AG15" s="15" t="n">
        <v>0.200134</v>
      </c>
      <c r="AH15" s="15" t="n">
        <v>0.221525</v>
      </c>
      <c r="AI15" s="15" t="n">
        <v>0.181628</v>
      </c>
      <c r="AJ15" s="15" t="n">
        <v>0.250748</v>
      </c>
      <c r="AK15" s="15" t="n">
        <v>-0.162185</v>
      </c>
      <c r="AL15" s="15" t="n">
        <v>0.323808</v>
      </c>
      <c r="AM15" s="15" t="n">
        <v>0.492316</v>
      </c>
      <c r="AN15" s="15" t="n">
        <v>-0.53533</v>
      </c>
      <c r="AO15" s="15" t="n">
        <v>0.257355</v>
      </c>
      <c r="AP15" s="15" t="n">
        <v>0.111351</v>
      </c>
      <c r="AQ15" s="15" t="n">
        <v>0.603201</v>
      </c>
      <c r="AR15" s="15" t="n">
        <v>0.133038</v>
      </c>
      <c r="AS15" s="15" t="n">
        <v>0.448052</v>
      </c>
      <c r="AT15" s="15" t="n">
        <v>0.025829</v>
      </c>
      <c r="AU15" s="15" t="n">
        <v>1.036789</v>
      </c>
      <c r="AV15" s="15" t="n">
        <v>1</v>
      </c>
      <c r="AW15" s="15" t="n">
        <v>102.719238</v>
      </c>
      <c r="AX15" s="15" t="n">
        <v>37.066667</v>
      </c>
      <c r="AY15" s="15" t="n">
        <v>35.933333</v>
      </c>
    </row>
    <row r="16" customFormat="false" ht="15" hidden="false" customHeight="false" outlineLevel="0" collapsed="false">
      <c r="A16" s="8" t="s">
        <v>137</v>
      </c>
      <c r="B16" s="15" t="n">
        <v>0.73</v>
      </c>
      <c r="C16" s="15" t="n">
        <v>0.38</v>
      </c>
      <c r="D16" s="15" t="n">
        <v>-0.69</v>
      </c>
      <c r="E16" s="15" t="n">
        <v>0.55</v>
      </c>
      <c r="F16" s="15" t="n">
        <v>0.39</v>
      </c>
      <c r="G16" s="15" t="n">
        <v>-0.61</v>
      </c>
      <c r="H16" s="15" t="n">
        <v>0.192418</v>
      </c>
      <c r="I16" s="15" t="n">
        <v>0.098714</v>
      </c>
      <c r="J16" s="15" t="n">
        <v>0.027349</v>
      </c>
      <c r="K16" s="15" t="n">
        <v>0.044814</v>
      </c>
      <c r="L16" s="15" t="n">
        <v>0.033787</v>
      </c>
      <c r="M16" s="15" t="n">
        <v>0.081877</v>
      </c>
      <c r="N16" s="15" t="n">
        <v>0.185358</v>
      </c>
      <c r="O16" s="15" t="n">
        <v>0.222297</v>
      </c>
      <c r="P16" s="15" t="n">
        <v>0.219297</v>
      </c>
      <c r="Q16" s="15" t="n">
        <v>0.252475</v>
      </c>
      <c r="R16" s="15" t="n">
        <v>-0.043146</v>
      </c>
      <c r="S16" s="15" t="n">
        <v>0.381115</v>
      </c>
      <c r="T16" s="15" t="n">
        <v>0.065195</v>
      </c>
      <c r="U16" s="15" t="n">
        <v>0.510258</v>
      </c>
      <c r="V16" s="15" t="n">
        <v>0.733361</v>
      </c>
      <c r="W16" s="15" t="n">
        <v>-0.660886</v>
      </c>
      <c r="X16" s="15" t="n">
        <v>0.369489</v>
      </c>
      <c r="Y16" s="15" t="n">
        <v>0.302335</v>
      </c>
      <c r="Z16" s="15" t="n">
        <v>0.205296</v>
      </c>
      <c r="AA16" s="15" t="n">
        <v>0.078186</v>
      </c>
      <c r="AB16" s="15" t="n">
        <v>0.109797</v>
      </c>
      <c r="AC16" s="15" t="n">
        <v>0.122659</v>
      </c>
      <c r="AD16" s="15" t="n">
        <v>0.173164</v>
      </c>
      <c r="AE16" s="15" t="n">
        <v>0.245125</v>
      </c>
      <c r="AF16" s="15" t="n">
        <v>0.271783</v>
      </c>
      <c r="AG16" s="15" t="n">
        <v>0.259268</v>
      </c>
      <c r="AH16" s="15" t="n">
        <v>0.303501</v>
      </c>
      <c r="AI16" s="15" t="n">
        <v>0.114468</v>
      </c>
      <c r="AJ16" s="15" t="n">
        <v>0.242914</v>
      </c>
      <c r="AK16" s="15" t="n">
        <v>-0.076325</v>
      </c>
      <c r="AL16" s="15" t="n">
        <v>0.27502</v>
      </c>
      <c r="AM16" s="15" t="n">
        <v>0.360637</v>
      </c>
      <c r="AN16" s="15" t="n">
        <v>-0.407505</v>
      </c>
      <c r="AO16" s="15" t="n">
        <v>0.232872</v>
      </c>
      <c r="AP16" s="15" t="n">
        <v>0.015678</v>
      </c>
      <c r="AQ16" s="15" t="n">
        <v>0.733293</v>
      </c>
      <c r="AR16" s="15" t="n">
        <v>0.156525</v>
      </c>
      <c r="AS16" s="15" t="n">
        <v>0.596605</v>
      </c>
      <c r="AT16" s="15" t="n">
        <v>0.0228</v>
      </c>
      <c r="AU16" s="15" t="n">
        <v>-0.309982</v>
      </c>
      <c r="AV16" s="15" t="n">
        <v>1</v>
      </c>
      <c r="AW16" s="15" t="n">
        <v>100.8582</v>
      </c>
      <c r="AX16" s="15" t="n">
        <v>37.066667</v>
      </c>
      <c r="AY16" s="15" t="n">
        <v>35.933333</v>
      </c>
    </row>
    <row r="17" customFormat="false" ht="15" hidden="false" customHeight="false" outlineLevel="0" collapsed="false">
      <c r="A17" s="8" t="s">
        <v>138</v>
      </c>
      <c r="B17" s="15" t="n">
        <v>0.55</v>
      </c>
      <c r="C17" s="15" t="n">
        <v>0.31</v>
      </c>
      <c r="D17" s="15" t="n">
        <v>-0.57</v>
      </c>
      <c r="E17" s="15" t="n">
        <v>0.59</v>
      </c>
      <c r="F17" s="15" t="n">
        <v>0.4</v>
      </c>
      <c r="G17" s="15" t="n">
        <v>-0.63</v>
      </c>
      <c r="H17" s="15" t="n">
        <v>0.238011</v>
      </c>
      <c r="I17" s="15" t="n">
        <v>0.16165</v>
      </c>
      <c r="J17" s="15" t="n">
        <v>0.053041</v>
      </c>
      <c r="K17" s="15" t="n">
        <v>0.070822</v>
      </c>
      <c r="L17" s="15" t="n">
        <v>0.07253</v>
      </c>
      <c r="M17" s="15" t="n">
        <v>0.112749</v>
      </c>
      <c r="N17" s="15" t="n">
        <v>0.190081</v>
      </c>
      <c r="O17" s="15" t="n">
        <v>0.217758</v>
      </c>
      <c r="P17" s="15" t="n">
        <v>0.225234</v>
      </c>
      <c r="Q17" s="15" t="n">
        <v>0.251632</v>
      </c>
      <c r="R17" s="15" t="n">
        <v>0.053668</v>
      </c>
      <c r="S17" s="15" t="n">
        <v>0.302726</v>
      </c>
      <c r="T17" s="15" t="n">
        <v>-0.027091</v>
      </c>
      <c r="U17" s="15" t="n">
        <v>0.381945</v>
      </c>
      <c r="V17" s="15" t="n">
        <v>0.519881</v>
      </c>
      <c r="W17" s="15" t="n">
        <v>-0.525724</v>
      </c>
      <c r="X17" s="15" t="n">
        <v>0.28805</v>
      </c>
      <c r="Y17" s="15" t="n">
        <v>0.297534</v>
      </c>
      <c r="Z17" s="15" t="n">
        <v>0.185128</v>
      </c>
      <c r="AA17" s="15" t="n">
        <v>0.044237</v>
      </c>
      <c r="AB17" s="15" t="n">
        <v>0.067742</v>
      </c>
      <c r="AC17" s="15" t="n">
        <v>0.07666</v>
      </c>
      <c r="AD17" s="15" t="n">
        <v>0.123962</v>
      </c>
      <c r="AE17" s="15" t="n">
        <v>0.18892</v>
      </c>
      <c r="AF17" s="15" t="n">
        <v>0.214124</v>
      </c>
      <c r="AG17" s="15" t="n">
        <v>0.223771</v>
      </c>
      <c r="AH17" s="15" t="n">
        <v>0.255236</v>
      </c>
      <c r="AI17" s="15" t="n">
        <v>0.164599</v>
      </c>
      <c r="AJ17" s="15" t="n">
        <v>0.272417</v>
      </c>
      <c r="AK17" s="15" t="n">
        <v>-0.141182</v>
      </c>
      <c r="AL17" s="15" t="n">
        <v>0.345834</v>
      </c>
      <c r="AM17" s="15" t="n">
        <v>0.493597</v>
      </c>
      <c r="AN17" s="15" t="n">
        <v>-0.537575</v>
      </c>
      <c r="AO17" s="15" t="n">
        <v>0.275992</v>
      </c>
      <c r="AP17" s="15" t="n">
        <v>0.093573</v>
      </c>
      <c r="AQ17" s="15" t="n">
        <v>0.609035</v>
      </c>
      <c r="AR17" s="15" t="n">
        <v>0.132735</v>
      </c>
      <c r="AS17" s="15" t="n">
        <v>0.468964</v>
      </c>
      <c r="AT17" s="15" t="n">
        <v>0.034102</v>
      </c>
      <c r="AU17" s="15" t="n">
        <v>0.179115</v>
      </c>
      <c r="AV17" s="15" t="n">
        <v>2</v>
      </c>
      <c r="AW17" s="15" t="n">
        <v>102.717476</v>
      </c>
      <c r="AX17" s="15" t="n">
        <v>36.266667</v>
      </c>
      <c r="AY17" s="15" t="n">
        <v>35.6</v>
      </c>
    </row>
    <row r="18" customFormat="false" ht="15" hidden="false" customHeight="false" outlineLevel="0" collapsed="false">
      <c r="A18" s="8" t="s">
        <v>139</v>
      </c>
      <c r="B18" s="15" t="n">
        <v>0.45</v>
      </c>
      <c r="C18" s="15" t="n">
        <v>0.22</v>
      </c>
      <c r="D18" s="15" t="n">
        <v>-0.52</v>
      </c>
      <c r="E18" s="15" t="n">
        <v>0.52</v>
      </c>
      <c r="F18" s="15" t="n">
        <v>0.36</v>
      </c>
      <c r="G18" s="15" t="n">
        <v>-0.59</v>
      </c>
      <c r="H18" s="15" t="n">
        <v>0.236467</v>
      </c>
      <c r="I18" s="15" t="n">
        <v>0.147567</v>
      </c>
      <c r="J18" s="15" t="n">
        <v>0.050873</v>
      </c>
      <c r="K18" s="15" t="n">
        <v>0.068849</v>
      </c>
      <c r="L18" s="15" t="n">
        <v>0.069694</v>
      </c>
      <c r="M18" s="15" t="n">
        <v>0.109891</v>
      </c>
      <c r="N18" s="15" t="n">
        <v>0.186584</v>
      </c>
      <c r="O18" s="15" t="n">
        <v>0.216149</v>
      </c>
      <c r="P18" s="15" t="n">
        <v>0.230064</v>
      </c>
      <c r="Q18" s="15" t="n">
        <v>0.248704</v>
      </c>
      <c r="R18" s="15" t="n">
        <v>0.04291</v>
      </c>
      <c r="S18" s="15" t="n">
        <v>0.316681</v>
      </c>
      <c r="T18" s="15" t="n">
        <v>-0.014032</v>
      </c>
      <c r="U18" s="15" t="n">
        <v>0.387202</v>
      </c>
      <c r="V18" s="15" t="n">
        <v>0.536101</v>
      </c>
      <c r="W18" s="15" t="n">
        <v>-0.539742</v>
      </c>
      <c r="X18" s="15" t="n">
        <v>0.300895</v>
      </c>
      <c r="Y18" s="15" t="n">
        <v>0.319608</v>
      </c>
      <c r="Z18" s="15" t="n">
        <v>0.201043</v>
      </c>
      <c r="AA18" s="15" t="n">
        <v>0.071226</v>
      </c>
      <c r="AB18" s="15" t="n">
        <v>0.095571</v>
      </c>
      <c r="AC18" s="15" t="n">
        <v>0.107314</v>
      </c>
      <c r="AD18" s="15" t="n">
        <v>0.154603</v>
      </c>
      <c r="AE18" s="15" t="n">
        <v>0.225648</v>
      </c>
      <c r="AF18" s="15" t="n">
        <v>0.255928</v>
      </c>
      <c r="AG18" s="15" t="n">
        <v>0.268358</v>
      </c>
      <c r="AH18" s="15" t="n">
        <v>0.296983</v>
      </c>
      <c r="AI18" s="15" t="n">
        <v>0.116675</v>
      </c>
      <c r="AJ18" s="15" t="n">
        <v>0.291986</v>
      </c>
      <c r="AK18" s="15" t="n">
        <v>-0.089112</v>
      </c>
      <c r="AL18" s="15" t="n">
        <v>0.319521</v>
      </c>
      <c r="AM18" s="15" t="n">
        <v>0.435303</v>
      </c>
      <c r="AN18" s="15" t="n">
        <v>-0.482689</v>
      </c>
      <c r="AO18" s="15" t="n">
        <v>0.275878</v>
      </c>
      <c r="AP18" s="15" t="n">
        <v>0.078408</v>
      </c>
      <c r="AQ18" s="15" t="n">
        <v>0.600119</v>
      </c>
      <c r="AR18" s="15" t="n">
        <v>0.122902</v>
      </c>
      <c r="AS18" s="15" t="n">
        <v>0.491629</v>
      </c>
      <c r="AT18" s="15" t="n">
        <v>0.023972</v>
      </c>
      <c r="AU18" s="15" t="n">
        <v>-0.464417</v>
      </c>
      <c r="AV18" s="15" t="n">
        <v>2</v>
      </c>
      <c r="AW18" s="15" t="n">
        <v>102.707916</v>
      </c>
      <c r="AX18" s="15" t="n">
        <v>37.833333</v>
      </c>
      <c r="AY18" s="15" t="n">
        <v>34.933333</v>
      </c>
    </row>
    <row r="19" customFormat="false" ht="15" hidden="false" customHeight="false" outlineLevel="0" collapsed="false">
      <c r="A19" s="8" t="s">
        <v>140</v>
      </c>
      <c r="B19" s="15" t="n">
        <v>0.48</v>
      </c>
      <c r="C19" s="15" t="n">
        <v>0.25</v>
      </c>
      <c r="D19" s="15" t="n">
        <v>-0.54</v>
      </c>
      <c r="E19" s="15" t="n">
        <v>0.63</v>
      </c>
      <c r="F19" s="15" t="n">
        <v>0.43</v>
      </c>
      <c r="G19" s="15" t="n">
        <v>-0.66</v>
      </c>
      <c r="H19" s="15" t="n">
        <v>0.245316</v>
      </c>
      <c r="I19" s="15" t="n">
        <v>0.156384</v>
      </c>
      <c r="J19" s="15" t="n">
        <v>0.048864</v>
      </c>
      <c r="K19" s="15" t="n">
        <v>0.06677</v>
      </c>
      <c r="L19" s="15" t="n">
        <v>0.069575</v>
      </c>
      <c r="M19" s="15" t="n">
        <v>0.111398</v>
      </c>
      <c r="N19" s="15" t="n">
        <v>0.178322</v>
      </c>
      <c r="O19" s="15" t="n">
        <v>0.20606</v>
      </c>
      <c r="P19" s="15" t="n">
        <v>0.214011</v>
      </c>
      <c r="Q19" s="15" t="n">
        <v>0.237339</v>
      </c>
      <c r="R19" s="15" t="n">
        <v>0.090038</v>
      </c>
      <c r="S19" s="15" t="n">
        <v>0.285548</v>
      </c>
      <c r="T19" s="15" t="n">
        <v>-0.068197</v>
      </c>
      <c r="U19" s="15" t="n">
        <v>0.361318</v>
      </c>
      <c r="V19" s="15" t="n">
        <v>0.509531</v>
      </c>
      <c r="W19" s="15" t="n">
        <v>-0.524398</v>
      </c>
      <c r="X19" s="15" t="n">
        <v>0.276515</v>
      </c>
      <c r="Y19" s="15" t="n">
        <v>1.198355</v>
      </c>
      <c r="Z19" s="15" t="n">
        <v>1.492194</v>
      </c>
      <c r="AA19" s="15" t="n">
        <v>0.047198</v>
      </c>
      <c r="AB19" s="15" t="n">
        <v>0.063283</v>
      </c>
      <c r="AC19" s="15" t="n">
        <v>0.080344</v>
      </c>
      <c r="AD19" s="15" t="n">
        <v>0.120686</v>
      </c>
      <c r="AE19" s="15" t="n">
        <v>0.166402</v>
      </c>
      <c r="AF19" s="15" t="n">
        <v>0.198993</v>
      </c>
      <c r="AG19" s="15" t="n">
        <v>0.2242</v>
      </c>
      <c r="AH19" s="15" t="n">
        <v>0.25098</v>
      </c>
      <c r="AI19" s="15" t="n">
        <v>0.647733</v>
      </c>
      <c r="AJ19" s="15" t="n">
        <v>0.265025</v>
      </c>
      <c r="AK19" s="15" t="n">
        <v>-0.682852</v>
      </c>
      <c r="AL19" s="15" t="n">
        <v>0.349794</v>
      </c>
      <c r="AM19" s="15" t="n">
        <v>0.46853</v>
      </c>
      <c r="AN19" s="15" t="n">
        <v>-0.555697</v>
      </c>
      <c r="AO19" s="15" t="n">
        <v>0.266849</v>
      </c>
      <c r="AP19" s="15" t="n">
        <v>0.138543</v>
      </c>
      <c r="AQ19" s="15" t="n">
        <v>0.546993</v>
      </c>
      <c r="AR19" s="15" t="n">
        <v>0.124895</v>
      </c>
      <c r="AS19" s="15" t="n">
        <v>0.416832</v>
      </c>
      <c r="AT19" s="15" t="n">
        <v>0.034568</v>
      </c>
      <c r="AU19" s="15" t="n">
        <v>-1.017181</v>
      </c>
      <c r="AV19" s="15" t="n">
        <v>1</v>
      </c>
      <c r="AW19" s="15" t="n">
        <v>101.443184</v>
      </c>
      <c r="AX19" s="15" t="n">
        <v>37.833333</v>
      </c>
      <c r="AY19" s="15" t="n">
        <v>34.933333</v>
      </c>
    </row>
    <row r="20" customFormat="false" ht="15" hidden="false" customHeight="false" outlineLevel="0" collapsed="false">
      <c r="A20" s="8" t="s">
        <v>141</v>
      </c>
      <c r="B20" s="15" t="n">
        <v>0.7</v>
      </c>
      <c r="C20" s="15" t="n">
        <v>0.35</v>
      </c>
      <c r="D20" s="15" t="n">
        <v>-0.68</v>
      </c>
      <c r="E20" s="15" t="n">
        <v>0.6</v>
      </c>
      <c r="F20" s="15" t="n">
        <v>0.41</v>
      </c>
      <c r="G20" s="15" t="n">
        <v>-0.63</v>
      </c>
      <c r="H20" s="15" t="n">
        <v>0.208818</v>
      </c>
      <c r="I20" s="15" t="n">
        <v>0.123192</v>
      </c>
      <c r="J20" s="15" t="n">
        <v>0.036194</v>
      </c>
      <c r="K20" s="15" t="n">
        <v>0.053171</v>
      </c>
      <c r="L20" s="15" t="n">
        <v>0.052573</v>
      </c>
      <c r="M20" s="15" t="n">
        <v>0.094602</v>
      </c>
      <c r="N20" s="15" t="n">
        <v>0.176777</v>
      </c>
      <c r="O20" s="15" t="n">
        <v>0.206129</v>
      </c>
      <c r="P20" s="15" t="n">
        <v>0.211774</v>
      </c>
      <c r="Q20" s="15" t="n">
        <v>0.236551</v>
      </c>
      <c r="R20" s="15" t="n">
        <v>0.02694</v>
      </c>
      <c r="S20" s="15" t="n">
        <v>0.31714</v>
      </c>
      <c r="T20" s="15" t="n">
        <v>0.00656</v>
      </c>
      <c r="U20" s="15" t="n">
        <v>0.428212</v>
      </c>
      <c r="V20" s="15" t="n">
        <v>0.602146</v>
      </c>
      <c r="W20" s="15" t="n">
        <v>-0.598883</v>
      </c>
      <c r="X20" s="15" t="n">
        <v>0.312245</v>
      </c>
      <c r="Y20" s="15" t="n">
        <v>0.272717</v>
      </c>
      <c r="Z20" s="15" t="n">
        <v>0.157418</v>
      </c>
      <c r="AA20" s="15" t="n">
        <v>0.034792</v>
      </c>
      <c r="AB20" s="15" t="n">
        <v>0.054508</v>
      </c>
      <c r="AC20" s="15" t="n">
        <v>0.065091</v>
      </c>
      <c r="AD20" s="15" t="n">
        <v>0.111195</v>
      </c>
      <c r="AE20" s="15" t="n">
        <v>0.178024</v>
      </c>
      <c r="AF20" s="15" t="n">
        <v>0.203454</v>
      </c>
      <c r="AG20" s="15" t="n">
        <v>0.201463</v>
      </c>
      <c r="AH20" s="15" t="n">
        <v>0.235865</v>
      </c>
      <c r="AI20" s="15" t="n">
        <v>0.177046</v>
      </c>
      <c r="AJ20" s="15" t="n">
        <v>0.256094</v>
      </c>
      <c r="AK20" s="15" t="n">
        <v>-0.15041</v>
      </c>
      <c r="AL20" s="15" t="n">
        <v>0.359069</v>
      </c>
      <c r="AM20" s="15" t="n">
        <v>0.511681</v>
      </c>
      <c r="AN20" s="15" t="n">
        <v>-0.574352</v>
      </c>
      <c r="AO20" s="15" t="n">
        <v>0.266593</v>
      </c>
      <c r="AP20" s="15" t="n">
        <v>0.089575</v>
      </c>
      <c r="AQ20" s="15" t="n">
        <v>0.651921</v>
      </c>
      <c r="AR20" s="15" t="n">
        <v>0.149887</v>
      </c>
      <c r="AS20" s="15" t="n">
        <v>0.496894</v>
      </c>
      <c r="AT20" s="15" t="n">
        <v>0.03491</v>
      </c>
      <c r="AU20" s="15" t="n">
        <v>-0.922951</v>
      </c>
      <c r="AV20" s="15" t="n">
        <v>1</v>
      </c>
      <c r="AW20" s="15" t="n">
        <v>103.154472</v>
      </c>
      <c r="AX20" s="15" t="n">
        <v>36.966667</v>
      </c>
      <c r="AY20" s="15" t="n">
        <v>34.633333</v>
      </c>
    </row>
    <row r="21" customFormat="false" ht="15" hidden="false" customHeight="false" outlineLevel="0" collapsed="false">
      <c r="A21" s="8" t="s">
        <v>142</v>
      </c>
      <c r="B21" s="15" t="n">
        <v>0.52</v>
      </c>
      <c r="C21" s="15" t="n">
        <v>0.26</v>
      </c>
      <c r="D21" s="15" t="n">
        <v>-0.55</v>
      </c>
      <c r="E21" s="15" t="n">
        <v>0.56</v>
      </c>
      <c r="F21" s="15" t="n">
        <v>0.38</v>
      </c>
      <c r="G21" s="15" t="n">
        <v>-0.61</v>
      </c>
      <c r="H21" s="15" t="n">
        <v>0.248956</v>
      </c>
      <c r="I21" s="15" t="n">
        <v>0.168458</v>
      </c>
      <c r="J21" s="15" t="n">
        <v>0.058026</v>
      </c>
      <c r="K21" s="15" t="n">
        <v>0.076332</v>
      </c>
      <c r="L21" s="15" t="n">
        <v>0.08</v>
      </c>
      <c r="M21" s="15" t="n">
        <v>0.116492</v>
      </c>
      <c r="N21" s="15" t="n">
        <v>0.190212</v>
      </c>
      <c r="O21" s="15" t="n">
        <v>0.219465</v>
      </c>
      <c r="P21" s="15" t="n">
        <v>0.229652</v>
      </c>
      <c r="Q21" s="15" t="n">
        <v>0.251436</v>
      </c>
      <c r="R21" s="15" t="n">
        <v>0.065912</v>
      </c>
      <c r="S21" s="15" t="n">
        <v>0.293838</v>
      </c>
      <c r="T21" s="15" t="n">
        <v>-0.039333</v>
      </c>
      <c r="U21" s="15" t="n">
        <v>0.367763</v>
      </c>
      <c r="V21" s="15" t="n">
        <v>0.486126</v>
      </c>
      <c r="W21" s="15" t="n">
        <v>-0.50274</v>
      </c>
      <c r="X21" s="15" t="n">
        <v>0.277633</v>
      </c>
      <c r="Y21" s="15" t="n">
        <v>0.288498</v>
      </c>
      <c r="Z21" s="15" t="n">
        <v>0.181687</v>
      </c>
      <c r="AA21" s="15" t="n">
        <v>0.046418</v>
      </c>
      <c r="AB21" s="15" t="n">
        <v>0.068991</v>
      </c>
      <c r="AC21" s="15" t="n">
        <v>0.077575</v>
      </c>
      <c r="AD21" s="15" t="n">
        <v>0.122472</v>
      </c>
      <c r="AE21" s="15" t="n">
        <v>0.187282</v>
      </c>
      <c r="AF21" s="15" t="n">
        <v>0.211191</v>
      </c>
      <c r="AG21" s="15" t="n">
        <v>0.22668</v>
      </c>
      <c r="AH21" s="15" t="n">
        <v>0.253368</v>
      </c>
      <c r="AI21" s="15" t="n">
        <v>0.144835</v>
      </c>
      <c r="AJ21" s="15" t="n">
        <v>0.27745</v>
      </c>
      <c r="AK21" s="15" t="n">
        <v>-0.119106</v>
      </c>
      <c r="AL21" s="15" t="n">
        <v>0.348688</v>
      </c>
      <c r="AM21" s="15" t="n">
        <v>0.491435</v>
      </c>
      <c r="AN21" s="15" t="n">
        <v>-0.534283</v>
      </c>
      <c r="AO21" s="15" t="n">
        <v>0.278229</v>
      </c>
      <c r="AP21" s="15" t="n">
        <v>0.103022</v>
      </c>
      <c r="AQ21" s="15" t="n">
        <v>0.570863</v>
      </c>
      <c r="AR21" s="15" t="n">
        <v>0.130052</v>
      </c>
      <c r="AS21" s="15" t="n">
        <v>0.444434</v>
      </c>
      <c r="AT21" s="15" t="n">
        <v>0.05734</v>
      </c>
      <c r="AU21" s="15" t="n">
        <v>0.183083</v>
      </c>
      <c r="AV21" s="15" t="n">
        <v>1</v>
      </c>
      <c r="AW21" s="15" t="n">
        <v>103.644424</v>
      </c>
      <c r="AX21" s="15" t="n">
        <v>36.066667</v>
      </c>
      <c r="AY21" s="15" t="n">
        <v>35.666667</v>
      </c>
    </row>
    <row r="22" customFormat="false" ht="15" hidden="false" customHeight="false" outlineLevel="0" collapsed="false">
      <c r="A22" s="8" t="s">
        <v>143</v>
      </c>
      <c r="B22" s="15" t="n">
        <v>0.49</v>
      </c>
      <c r="C22" s="15" t="n">
        <v>0.26</v>
      </c>
      <c r="D22" s="15" t="n">
        <v>-0.53</v>
      </c>
      <c r="E22" s="15" t="n">
        <v>0.56</v>
      </c>
      <c r="F22" s="15" t="n">
        <v>0.38</v>
      </c>
      <c r="G22" s="15" t="n">
        <v>-0.61</v>
      </c>
      <c r="H22" s="15" t="n">
        <v>0.242948</v>
      </c>
      <c r="I22" s="15" t="n">
        <v>0.155163</v>
      </c>
      <c r="J22" s="15" t="n">
        <v>0.049105</v>
      </c>
      <c r="K22" s="15" t="n">
        <v>0.066585</v>
      </c>
      <c r="L22" s="15" t="n">
        <v>0.070356</v>
      </c>
      <c r="M22" s="15" t="n">
        <v>0.107229</v>
      </c>
      <c r="N22" s="15" t="n">
        <v>0.182551</v>
      </c>
      <c r="O22" s="15" t="n">
        <v>0.215216</v>
      </c>
      <c r="P22" s="15" t="n">
        <v>0.220021</v>
      </c>
      <c r="Q22" s="15" t="n">
        <v>0.245977</v>
      </c>
      <c r="R22" s="15" t="n">
        <v>0.075512</v>
      </c>
      <c r="S22" s="15" t="n">
        <v>0.293861</v>
      </c>
      <c r="T22" s="15" t="n">
        <v>-0.049105</v>
      </c>
      <c r="U22" s="15" t="n">
        <v>0.393273</v>
      </c>
      <c r="V22" s="15" t="n">
        <v>0.515831</v>
      </c>
      <c r="W22" s="15" t="n">
        <v>-0.535439</v>
      </c>
      <c r="X22" s="15" t="n">
        <v>0.284077</v>
      </c>
      <c r="Y22" s="15" t="n">
        <v>0.29429</v>
      </c>
      <c r="Z22" s="15" t="n">
        <v>0.176348</v>
      </c>
      <c r="AA22" s="15" t="n">
        <v>0.044322</v>
      </c>
      <c r="AB22" s="15" t="n">
        <v>0.067075</v>
      </c>
      <c r="AC22" s="15" t="n">
        <v>0.079442</v>
      </c>
      <c r="AD22" s="15" t="n">
        <v>0.123492</v>
      </c>
      <c r="AE22" s="15" t="n">
        <v>0.186662</v>
      </c>
      <c r="AF22" s="15" t="n">
        <v>0.206597</v>
      </c>
      <c r="AG22" s="15" t="n">
        <v>0.220563</v>
      </c>
      <c r="AH22" s="15" t="n">
        <v>0.247322</v>
      </c>
      <c r="AI22" s="15" t="n">
        <v>0.170261</v>
      </c>
      <c r="AJ22" s="15" t="n">
        <v>0.258478</v>
      </c>
      <c r="AK22" s="15" t="n">
        <v>-0.143013</v>
      </c>
      <c r="AL22" s="15" t="n">
        <v>0.333822</v>
      </c>
      <c r="AM22" s="15" t="n">
        <v>0.470449</v>
      </c>
      <c r="AN22" s="15" t="n">
        <v>-0.53334</v>
      </c>
      <c r="AO22" s="15" t="n">
        <v>0.264549</v>
      </c>
      <c r="AP22" s="15" t="n">
        <v>0.099763</v>
      </c>
      <c r="AQ22" s="15" t="n">
        <v>0.595238</v>
      </c>
      <c r="AR22" s="15" t="n">
        <v>0.119788</v>
      </c>
      <c r="AS22" s="15" t="n">
        <v>0.462486</v>
      </c>
      <c r="AT22" s="15" t="n">
        <v>0.027281</v>
      </c>
      <c r="AU22" s="15" t="n">
        <v>0.207001</v>
      </c>
      <c r="AV22" s="15" t="n">
        <v>2</v>
      </c>
      <c r="AW22" s="15" t="n">
        <v>103.732346</v>
      </c>
      <c r="AX22" s="15" t="n">
        <v>37.833333</v>
      </c>
      <c r="AY22" s="15" t="n">
        <v>34.933333</v>
      </c>
    </row>
    <row r="23" customFormat="false" ht="15" hidden="false" customHeight="false" outlineLevel="0" collapsed="false">
      <c r="A23" s="8" t="s">
        <v>144</v>
      </c>
      <c r="B23" s="15" t="n">
        <v>0.69</v>
      </c>
      <c r="C23" s="15" t="n">
        <v>0.32</v>
      </c>
      <c r="D23" s="15" t="n">
        <v>-0.65</v>
      </c>
      <c r="E23" s="15" t="n">
        <v>0.56</v>
      </c>
      <c r="F23" s="15" t="n">
        <v>0.39</v>
      </c>
      <c r="G23" s="15" t="n">
        <v>-0.62</v>
      </c>
      <c r="H23" s="15" t="n">
        <v>0.204432</v>
      </c>
      <c r="I23" s="15" t="n">
        <v>0.11898</v>
      </c>
      <c r="J23" s="15" t="n">
        <v>0.035688</v>
      </c>
      <c r="K23" s="15" t="n">
        <v>0.056389</v>
      </c>
      <c r="L23" s="15" t="n">
        <v>0.044917</v>
      </c>
      <c r="M23" s="15" t="n">
        <v>0.091079</v>
      </c>
      <c r="N23" s="15" t="n">
        <v>0.186898</v>
      </c>
      <c r="O23" s="15" t="n">
        <v>0.22194</v>
      </c>
      <c r="P23" s="15" t="n">
        <v>0.223873</v>
      </c>
      <c r="Q23" s="15" t="n">
        <v>0.246046</v>
      </c>
      <c r="R23" s="15" t="n">
        <v>-0.020007</v>
      </c>
      <c r="S23" s="15" t="n">
        <v>0.364994</v>
      </c>
      <c r="T23" s="15" t="n">
        <v>0.04522</v>
      </c>
      <c r="U23" s="15" t="n">
        <v>0.459846</v>
      </c>
      <c r="V23" s="15" t="n">
        <v>0.665777</v>
      </c>
      <c r="W23" s="15" t="n">
        <v>-0.597731</v>
      </c>
      <c r="X23" s="15" t="n">
        <v>0.349118</v>
      </c>
      <c r="Y23" s="15" t="n">
        <v>0.234672</v>
      </c>
      <c r="Z23" s="15" t="n">
        <v>0.139537</v>
      </c>
      <c r="AA23" s="15" t="n">
        <v>0.032357</v>
      </c>
      <c r="AB23" s="15" t="n">
        <v>0.052229</v>
      </c>
      <c r="AC23" s="15" t="n">
        <v>0.058497</v>
      </c>
      <c r="AD23" s="15" t="n">
        <v>0.106764</v>
      </c>
      <c r="AE23" s="15" t="n">
        <v>0.167424</v>
      </c>
      <c r="AF23" s="15" t="n">
        <v>0.188034</v>
      </c>
      <c r="AG23" s="15" t="n">
        <v>0.190253</v>
      </c>
      <c r="AH23" s="15" t="n">
        <v>0.222106</v>
      </c>
      <c r="AI23" s="15" t="n">
        <v>0.138855</v>
      </c>
      <c r="AJ23" s="15" t="n">
        <v>0.251471</v>
      </c>
      <c r="AK23" s="15" t="n">
        <v>-0.107316</v>
      </c>
      <c r="AL23" s="15" t="n">
        <v>0.35361</v>
      </c>
      <c r="AM23" s="15" t="n">
        <v>0.523433</v>
      </c>
      <c r="AN23" s="15" t="n">
        <v>-0.564924</v>
      </c>
      <c r="AO23" s="15" t="n">
        <v>0.261023</v>
      </c>
      <c r="AP23" s="15" t="n">
        <v>0.064165</v>
      </c>
      <c r="AQ23" s="15" t="n">
        <v>0.648551</v>
      </c>
      <c r="AR23" s="15" t="n">
        <v>0.145482</v>
      </c>
      <c r="AS23" s="15" t="n">
        <v>0.533124</v>
      </c>
      <c r="AT23" s="15" t="n">
        <v>0.024987</v>
      </c>
      <c r="AU23" s="15" t="n">
        <v>-0.140831</v>
      </c>
      <c r="AV23" s="15" t="n">
        <v>2</v>
      </c>
      <c r="AW23" s="15" t="n">
        <v>99.936295</v>
      </c>
      <c r="AX23" s="15" t="n">
        <v>36.5</v>
      </c>
      <c r="AY23" s="15" t="n">
        <v>37.2</v>
      </c>
    </row>
    <row r="24" customFormat="false" ht="15" hidden="false" customHeight="false" outlineLevel="0" collapsed="false">
      <c r="A24" s="8" t="s">
        <v>145</v>
      </c>
      <c r="B24" s="15" t="n">
        <v>0.7</v>
      </c>
      <c r="C24" s="15" t="n">
        <v>0.33</v>
      </c>
      <c r="D24" s="15" t="n">
        <v>-0.65</v>
      </c>
      <c r="E24" s="15" t="n">
        <v>0.61</v>
      </c>
      <c r="F24" s="15" t="n">
        <v>0.41</v>
      </c>
      <c r="G24" s="15" t="n">
        <v>-0.64</v>
      </c>
      <c r="H24" s="15" t="n">
        <v>0.202613</v>
      </c>
      <c r="I24" s="15" t="n">
        <v>0.117063</v>
      </c>
      <c r="J24" s="15" t="n">
        <v>0.036045</v>
      </c>
      <c r="K24" s="15" t="n">
        <v>0.054225</v>
      </c>
      <c r="L24" s="15" t="n">
        <v>0.044784</v>
      </c>
      <c r="M24" s="15" t="n">
        <v>0.091515</v>
      </c>
      <c r="N24" s="15" t="n">
        <v>0.186431</v>
      </c>
      <c r="O24" s="15" t="n">
        <v>0.218116</v>
      </c>
      <c r="P24" s="15" t="n">
        <v>0.21298</v>
      </c>
      <c r="Q24" s="15" t="n">
        <v>0.252579</v>
      </c>
      <c r="R24" s="15" t="n">
        <v>-0.003324</v>
      </c>
      <c r="S24" s="15" t="n">
        <v>0.347122</v>
      </c>
      <c r="T24" s="15" t="n">
        <v>0.024614</v>
      </c>
      <c r="U24" s="15" t="n">
        <v>0.468225</v>
      </c>
      <c r="V24" s="15" t="n">
        <v>0.653054</v>
      </c>
      <c r="W24" s="15" t="n">
        <v>-0.594145</v>
      </c>
      <c r="X24" s="15" t="n">
        <v>0.332945</v>
      </c>
      <c r="Y24" s="15" t="n">
        <v>0.242112</v>
      </c>
      <c r="Z24" s="15" t="n">
        <v>0.147147</v>
      </c>
      <c r="AA24" s="15" t="n">
        <v>0.036584</v>
      </c>
      <c r="AB24" s="15" t="n">
        <v>0.056737</v>
      </c>
      <c r="AC24" s="15" t="n">
        <v>0.053241</v>
      </c>
      <c r="AD24" s="15" t="n">
        <v>0.106268</v>
      </c>
      <c r="AE24" s="15" t="n">
        <v>0.196388</v>
      </c>
      <c r="AF24" s="15" t="n">
        <v>0.225886</v>
      </c>
      <c r="AG24" s="15" t="n">
        <v>0.223525</v>
      </c>
      <c r="AH24" s="15" t="n">
        <v>0.255108</v>
      </c>
      <c r="AI24" s="15" t="n">
        <v>0.063452</v>
      </c>
      <c r="AJ24" s="15" t="n">
        <v>0.335725</v>
      </c>
      <c r="AK24" s="15" t="n">
        <v>-0.040538</v>
      </c>
      <c r="AL24" s="15" t="n">
        <v>0.411786</v>
      </c>
      <c r="AM24" s="15" t="n">
        <v>0.615422</v>
      </c>
      <c r="AN24" s="15" t="n">
        <v>-0.594726</v>
      </c>
      <c r="AO24" s="15" t="n">
        <v>0.328724</v>
      </c>
      <c r="AP24" s="15" t="n">
        <v>0.024366</v>
      </c>
      <c r="AQ24" s="15" t="n">
        <v>0.655385</v>
      </c>
      <c r="AR24" s="15" t="n">
        <v>0.11237</v>
      </c>
      <c r="AS24" s="15" t="n">
        <v>0.587607</v>
      </c>
      <c r="AT24" s="15" t="n">
        <v>0.016312</v>
      </c>
      <c r="AU24" s="15" t="n">
        <v>0.437767</v>
      </c>
      <c r="AV24" s="15" t="n">
        <v>1</v>
      </c>
      <c r="AW24" s="15" t="n">
        <v>102.049904</v>
      </c>
      <c r="AX24" s="15" t="n">
        <v>37.966667</v>
      </c>
      <c r="AY24" s="15" t="n">
        <v>36.466667</v>
      </c>
    </row>
    <row r="25" customFormat="false" ht="15" hidden="false" customHeight="false" outlineLevel="0" collapsed="false">
      <c r="A25" s="8" t="s">
        <v>146</v>
      </c>
      <c r="B25" s="15" t="n">
        <v>0.65</v>
      </c>
      <c r="C25" s="15" t="n">
        <v>0.36</v>
      </c>
      <c r="D25" s="15" t="n">
        <v>-0.72</v>
      </c>
      <c r="E25" s="15" t="n">
        <v>0.69</v>
      </c>
      <c r="F25" s="15" t="n">
        <v>0.28</v>
      </c>
      <c r="G25" s="15" t="n">
        <v>-0.51</v>
      </c>
      <c r="H25" s="15" t="n">
        <v>0.325629</v>
      </c>
      <c r="I25" s="15" t="n">
        <v>0.226978</v>
      </c>
      <c r="J25" s="15" t="n">
        <v>0.056444</v>
      </c>
      <c r="K25" s="15" t="n">
        <v>0.081351</v>
      </c>
      <c r="L25" s="15" t="n">
        <v>0.089276</v>
      </c>
      <c r="M25" s="15" t="n">
        <v>0.136345</v>
      </c>
      <c r="N25" s="15" t="n">
        <v>0.227787</v>
      </c>
      <c r="O25" s="15" t="n">
        <v>0.260852</v>
      </c>
      <c r="P25" s="15" t="n">
        <v>0.270715</v>
      </c>
      <c r="Q25" s="15" t="n">
        <v>0.298779</v>
      </c>
      <c r="R25" s="15" t="n">
        <v>0.11788</v>
      </c>
      <c r="S25" s="15" t="n">
        <v>0.328093</v>
      </c>
      <c r="T25" s="15" t="n">
        <v>-0.091815</v>
      </c>
      <c r="U25" s="15" t="n">
        <v>0.372777</v>
      </c>
      <c r="V25" s="15" t="n">
        <v>0.503695</v>
      </c>
      <c r="W25" s="15" t="n">
        <v>-0.537596</v>
      </c>
      <c r="X25" s="15" t="n">
        <v>0.31637</v>
      </c>
      <c r="Y25" s="15" t="n">
        <v>0.373565</v>
      </c>
      <c r="Z25" s="15" t="n">
        <v>0.283381</v>
      </c>
      <c r="AA25" s="15" t="n">
        <v>0.045646</v>
      </c>
      <c r="AB25" s="15" t="n">
        <v>0.061767</v>
      </c>
      <c r="AC25" s="15" t="n">
        <v>0.087695</v>
      </c>
      <c r="AD25" s="15" t="n">
        <v>0.111614</v>
      </c>
      <c r="AE25" s="15" t="n">
        <v>0.135926</v>
      </c>
      <c r="AF25" s="15" t="n">
        <v>0.152223</v>
      </c>
      <c r="AG25" s="15" t="n">
        <v>0.163268</v>
      </c>
      <c r="AH25" s="15" t="n">
        <v>0.188362</v>
      </c>
      <c r="AI25" s="15" t="n">
        <v>0.376745</v>
      </c>
      <c r="AJ25" s="15" t="n">
        <v>0.140218</v>
      </c>
      <c r="AK25" s="15" t="n">
        <v>-0.391882</v>
      </c>
      <c r="AL25" s="15" t="n">
        <v>0.255491</v>
      </c>
      <c r="AM25" s="15" t="n">
        <v>0.30099</v>
      </c>
      <c r="AN25" s="15" t="n">
        <v>-0.450886</v>
      </c>
      <c r="AO25" s="15" t="n">
        <v>0.15087</v>
      </c>
      <c r="AP25" s="15" t="n">
        <v>0.151369</v>
      </c>
      <c r="AQ25" s="15" t="n">
        <v>0.408746</v>
      </c>
      <c r="AR25" s="15" t="n">
        <v>0.18302</v>
      </c>
      <c r="AS25" s="15" t="n">
        <v>0.405571</v>
      </c>
      <c r="AT25" s="15" t="n">
        <v>0.247999</v>
      </c>
      <c r="AU25" s="15" t="n">
        <v>-0.805283</v>
      </c>
      <c r="AV25" s="15" t="n">
        <v>1</v>
      </c>
      <c r="AW25" s="15" t="n">
        <v>100.561974</v>
      </c>
      <c r="AX25" s="15" t="n">
        <v>36.266667</v>
      </c>
      <c r="AY25" s="15" t="n">
        <v>35.6</v>
      </c>
    </row>
    <row r="26" customFormat="false" ht="15" hidden="false" customHeight="false" outlineLevel="0" collapsed="false">
      <c r="A26" s="8" t="s">
        <v>147</v>
      </c>
      <c r="B26" s="15" t="n">
        <v>0.6</v>
      </c>
      <c r="C26" s="15" t="n">
        <v>0.33</v>
      </c>
      <c r="D26" s="15" t="n">
        <v>-0.69</v>
      </c>
      <c r="E26" s="15" t="n">
        <v>0.55</v>
      </c>
      <c r="F26" s="15" t="n">
        <v>0.27</v>
      </c>
      <c r="G26" s="15" t="n">
        <v>-0.5</v>
      </c>
      <c r="H26" s="15" t="n">
        <v>0.316757</v>
      </c>
      <c r="I26" s="15" t="n">
        <v>0.219613</v>
      </c>
      <c r="J26" s="15" t="n">
        <v>0.05419</v>
      </c>
      <c r="K26" s="15" t="n">
        <v>0.079753</v>
      </c>
      <c r="L26" s="15" t="n">
        <v>0.084268</v>
      </c>
      <c r="M26" s="15" t="n">
        <v>0.128305</v>
      </c>
      <c r="N26" s="15" t="n">
        <v>0.212488</v>
      </c>
      <c r="O26" s="15" t="n">
        <v>0.246525</v>
      </c>
      <c r="P26" s="15" t="n">
        <v>0.251284</v>
      </c>
      <c r="Q26" s="15" t="n">
        <v>0.27996</v>
      </c>
      <c r="R26" s="15" t="n">
        <v>0.135138</v>
      </c>
      <c r="S26" s="15" t="n">
        <v>0.309347</v>
      </c>
      <c r="T26" s="15" t="n">
        <v>-0.115216</v>
      </c>
      <c r="U26" s="15" t="n">
        <v>0.371455</v>
      </c>
      <c r="V26" s="15" t="n">
        <v>0.497958</v>
      </c>
      <c r="W26" s="15" t="n">
        <v>-0.518132</v>
      </c>
      <c r="X26" s="15" t="n">
        <v>0.299866</v>
      </c>
      <c r="Y26" s="15" t="n">
        <v>0.374701</v>
      </c>
      <c r="Z26" s="15" t="n">
        <v>0.285786</v>
      </c>
      <c r="AA26" s="15" t="n">
        <v>0.045625</v>
      </c>
      <c r="AB26" s="15" t="n">
        <v>0.061225</v>
      </c>
      <c r="AC26" s="15" t="n">
        <v>0.090005</v>
      </c>
      <c r="AD26" s="15" t="n">
        <v>0.112124</v>
      </c>
      <c r="AE26" s="15" t="n">
        <v>0.130519</v>
      </c>
      <c r="AF26" s="15" t="n">
        <v>0.151564</v>
      </c>
      <c r="AG26" s="15" t="n">
        <v>0.163914</v>
      </c>
      <c r="AH26" s="15" t="n">
        <v>0.18301</v>
      </c>
      <c r="AI26" s="15" t="n">
        <v>0.378426</v>
      </c>
      <c r="AJ26" s="15" t="n">
        <v>0.135684</v>
      </c>
      <c r="AK26" s="15" t="n">
        <v>-0.391403</v>
      </c>
      <c r="AL26" s="15" t="n">
        <v>0.240187</v>
      </c>
      <c r="AM26" s="15" t="n">
        <v>0.29114</v>
      </c>
      <c r="AN26" s="15" t="n">
        <v>-0.455895</v>
      </c>
      <c r="AO26" s="15" t="n">
        <v>0.147024</v>
      </c>
      <c r="AP26" s="15" t="n">
        <v>0.157902</v>
      </c>
      <c r="AQ26" s="15" t="n">
        <v>0.466066</v>
      </c>
      <c r="AR26" s="15" t="n">
        <v>0.20078</v>
      </c>
      <c r="AS26" s="15" t="n">
        <v>0.389088</v>
      </c>
      <c r="AT26" s="15" t="n">
        <v>0.337482</v>
      </c>
      <c r="AU26" s="15" t="n">
        <v>-0.434021</v>
      </c>
      <c r="AV26" s="15" t="n">
        <v>1</v>
      </c>
      <c r="AW26" s="15" t="n">
        <v>101.848671</v>
      </c>
      <c r="AX26" s="15" t="n">
        <v>36.066667</v>
      </c>
      <c r="AY26" s="15" t="n">
        <v>35.666667</v>
      </c>
    </row>
    <row r="27" customFormat="false" ht="15" hidden="false" customHeight="false" outlineLevel="0" collapsed="false">
      <c r="A27" s="8" t="s">
        <v>148</v>
      </c>
      <c r="B27" s="15" t="n">
        <v>0.65</v>
      </c>
      <c r="C27" s="15" t="n">
        <v>0.36</v>
      </c>
      <c r="D27" s="15" t="n">
        <v>-0.71</v>
      </c>
      <c r="E27" s="15" t="n">
        <v>0.47</v>
      </c>
      <c r="F27" s="15" t="n">
        <v>0.28</v>
      </c>
      <c r="G27" s="15" t="n">
        <v>-0.5</v>
      </c>
      <c r="H27" s="15" t="n">
        <v>0.304051</v>
      </c>
      <c r="I27" s="15" t="n">
        <v>0.211635</v>
      </c>
      <c r="J27" s="15" t="n">
        <v>0.055067</v>
      </c>
      <c r="K27" s="15" t="n">
        <v>0.081679</v>
      </c>
      <c r="L27" s="15" t="n">
        <v>0.078851</v>
      </c>
      <c r="M27" s="15" t="n">
        <v>0.126255</v>
      </c>
      <c r="N27" s="15" t="n">
        <v>0.222237</v>
      </c>
      <c r="O27" s="15" t="n">
        <v>0.25757</v>
      </c>
      <c r="P27" s="15" t="n">
        <v>0.260196</v>
      </c>
      <c r="Q27" s="15" t="n">
        <v>0.288472</v>
      </c>
      <c r="R27" s="15" t="n">
        <v>0.096966</v>
      </c>
      <c r="S27" s="15" t="n">
        <v>0.343302</v>
      </c>
      <c r="T27" s="15" t="n">
        <v>-0.077867</v>
      </c>
      <c r="U27" s="15" t="n">
        <v>0.390982</v>
      </c>
      <c r="V27" s="15" t="n">
        <v>0.534728</v>
      </c>
      <c r="W27" s="15" t="n">
        <v>-0.522004</v>
      </c>
      <c r="X27" s="15" t="n">
        <v>0.324128</v>
      </c>
      <c r="Y27" s="15" t="n">
        <v>0.362652</v>
      </c>
      <c r="Z27" s="15" t="n">
        <v>0.273153</v>
      </c>
      <c r="AA27" s="15" t="n">
        <v>0.046117</v>
      </c>
      <c r="AB27" s="15" t="n">
        <v>0.061785</v>
      </c>
      <c r="AC27" s="15" t="n">
        <v>0.08877</v>
      </c>
      <c r="AD27" s="15" t="n">
        <v>0.110425</v>
      </c>
      <c r="AE27" s="15" t="n">
        <v>0.127442</v>
      </c>
      <c r="AF27" s="15" t="n">
        <v>0.14467</v>
      </c>
      <c r="AG27" s="15" t="n">
        <v>0.15192</v>
      </c>
      <c r="AH27" s="15" t="n">
        <v>0.178675</v>
      </c>
      <c r="AI27" s="15" t="n">
        <v>0.390166</v>
      </c>
      <c r="AJ27" s="15" t="n">
        <v>0.117802</v>
      </c>
      <c r="AK27" s="15" t="n">
        <v>-0.409849</v>
      </c>
      <c r="AL27" s="15" t="n">
        <v>0.236288</v>
      </c>
      <c r="AM27" s="15" t="n">
        <v>0.261878</v>
      </c>
      <c r="AN27" s="15" t="n">
        <v>-0.420653</v>
      </c>
      <c r="AO27" s="15" t="n">
        <v>0.127737</v>
      </c>
      <c r="AP27" s="15" t="n">
        <v>0.137667</v>
      </c>
      <c r="AQ27" s="15" t="n">
        <v>0.412961</v>
      </c>
      <c r="AR27" s="15" t="n">
        <v>0.213388</v>
      </c>
      <c r="AS27" s="15" t="n">
        <v>0.421468</v>
      </c>
      <c r="AT27" s="15" t="n">
        <v>0.338422</v>
      </c>
      <c r="AU27" s="15" t="n">
        <v>0.186447</v>
      </c>
      <c r="AV27" s="15" t="n">
        <v>1</v>
      </c>
      <c r="AW27" s="15" t="n">
        <v>102.0158</v>
      </c>
      <c r="AX27" s="15" t="n">
        <v>38.066667</v>
      </c>
      <c r="AY27" s="15" t="n">
        <v>34.866667</v>
      </c>
    </row>
    <row r="28" customFormat="false" ht="15" hidden="false" customHeight="false" outlineLevel="0" collapsed="false">
      <c r="A28" s="8" t="s">
        <v>149</v>
      </c>
      <c r="B28" s="15" t="n">
        <v>0.58</v>
      </c>
      <c r="C28" s="15" t="n">
        <v>0.33</v>
      </c>
      <c r="D28" s="15" t="n">
        <v>-0.66</v>
      </c>
      <c r="E28" s="15" t="n">
        <v>0.5</v>
      </c>
      <c r="F28" s="15" t="n">
        <v>0.27</v>
      </c>
      <c r="G28" s="15" t="n">
        <v>-0.49</v>
      </c>
      <c r="H28" s="15" t="n">
        <v>0.304824</v>
      </c>
      <c r="I28" s="15" t="n">
        <v>0.202418</v>
      </c>
      <c r="J28" s="15" t="n">
        <v>0.052725</v>
      </c>
      <c r="K28" s="15" t="n">
        <v>0.078151</v>
      </c>
      <c r="L28" s="15" t="n">
        <v>0.078491</v>
      </c>
      <c r="M28" s="15" t="n">
        <v>0.124846</v>
      </c>
      <c r="N28" s="15" t="n">
        <v>0.211271</v>
      </c>
      <c r="O28" s="15" t="n">
        <v>0.241406</v>
      </c>
      <c r="P28" s="15" t="n">
        <v>0.256487</v>
      </c>
      <c r="Q28" s="15" t="n">
        <v>0.266301</v>
      </c>
      <c r="R28" s="15" t="n">
        <v>0.107079</v>
      </c>
      <c r="S28" s="15" t="n">
        <v>0.334038</v>
      </c>
      <c r="T28" s="15" t="n">
        <v>-0.08622</v>
      </c>
      <c r="U28" s="15" t="n">
        <v>0.361497</v>
      </c>
      <c r="V28" s="15" t="n">
        <v>0.531292</v>
      </c>
      <c r="W28" s="15" t="n">
        <v>-0.532811</v>
      </c>
      <c r="X28" s="15" t="n">
        <v>0.319716</v>
      </c>
      <c r="Y28" s="15" t="n">
        <v>0.375096</v>
      </c>
      <c r="Z28" s="15" t="n">
        <v>0.28903</v>
      </c>
      <c r="AA28" s="15" t="n">
        <v>0.046375</v>
      </c>
      <c r="AB28" s="15" t="n">
        <v>0.061754</v>
      </c>
      <c r="AC28" s="15" t="n">
        <v>0.08972</v>
      </c>
      <c r="AD28" s="15" t="n">
        <v>0.111345</v>
      </c>
      <c r="AE28" s="15" t="n">
        <v>0.126559</v>
      </c>
      <c r="AF28" s="15" t="n">
        <v>0.146811</v>
      </c>
      <c r="AG28" s="15" t="n">
        <v>0.158588</v>
      </c>
      <c r="AH28" s="15" t="n">
        <v>0.179434</v>
      </c>
      <c r="AI28" s="15" t="n">
        <v>0.388004</v>
      </c>
      <c r="AJ28" s="15" t="n">
        <v>0.127573</v>
      </c>
      <c r="AK28" s="15" t="n">
        <v>-0.405811</v>
      </c>
      <c r="AL28" s="15" t="n">
        <v>0.233998</v>
      </c>
      <c r="AM28" s="15" t="n">
        <v>0.277229</v>
      </c>
      <c r="AN28" s="15" t="n">
        <v>-0.439156</v>
      </c>
      <c r="AO28" s="15" t="n">
        <v>0.13799</v>
      </c>
      <c r="AP28" s="15" t="n">
        <v>0.157385</v>
      </c>
      <c r="AQ28" s="15" t="n">
        <v>0.465384</v>
      </c>
      <c r="AR28" s="15" t="n">
        <v>0.204047</v>
      </c>
      <c r="AS28" s="15" t="n">
        <v>0.409512</v>
      </c>
      <c r="AT28" s="15" t="n">
        <v>0.299932</v>
      </c>
      <c r="AU28" s="15" t="n">
        <v>0.291664</v>
      </c>
      <c r="AV28" s="15" t="n">
        <v>1</v>
      </c>
      <c r="AW28" s="15" t="n">
        <v>103.248741</v>
      </c>
      <c r="AX28" s="15" t="n">
        <v>38.066667</v>
      </c>
      <c r="AY28" s="15" t="n">
        <v>34.866667</v>
      </c>
    </row>
    <row r="29" customFormat="false" ht="15" hidden="false" customHeight="false" outlineLevel="0" collapsed="false">
      <c r="A29" s="8" t="s">
        <v>150</v>
      </c>
      <c r="B29" s="15" t="n">
        <v>0.62</v>
      </c>
      <c r="C29" s="15" t="n">
        <v>0.35</v>
      </c>
      <c r="D29" s="15" t="n">
        <v>-0.69</v>
      </c>
      <c r="E29" s="15" t="n">
        <v>0.55</v>
      </c>
      <c r="F29" s="15" t="n">
        <v>0.26</v>
      </c>
      <c r="G29" s="15" t="n">
        <v>-0.49</v>
      </c>
      <c r="H29" s="15" t="n">
        <v>0.316844</v>
      </c>
      <c r="I29" s="15" t="n">
        <v>0.222432</v>
      </c>
      <c r="J29" s="15" t="n">
        <v>0.060605</v>
      </c>
      <c r="K29" s="15" t="n">
        <v>0.085376</v>
      </c>
      <c r="L29" s="15" t="n">
        <v>0.088724</v>
      </c>
      <c r="M29" s="15" t="n">
        <v>0.1341</v>
      </c>
      <c r="N29" s="15" t="n">
        <v>0.242751</v>
      </c>
      <c r="O29" s="15" t="n">
        <v>0.273133</v>
      </c>
      <c r="P29" s="15" t="n">
        <v>0.259874</v>
      </c>
      <c r="Q29" s="15" t="n">
        <v>0.300162</v>
      </c>
      <c r="R29" s="15" t="n">
        <v>0.117385</v>
      </c>
      <c r="S29" s="15" t="n">
        <v>0.319724</v>
      </c>
      <c r="T29" s="15" t="n">
        <v>-0.099113</v>
      </c>
      <c r="U29" s="15" t="n">
        <v>0.382123</v>
      </c>
      <c r="V29" s="15" t="n">
        <v>0.490587</v>
      </c>
      <c r="W29" s="15" t="n">
        <v>-0.505043</v>
      </c>
      <c r="X29" s="15" t="n">
        <v>0.302368</v>
      </c>
      <c r="Y29" s="15" t="n">
        <v>0.378769</v>
      </c>
      <c r="Z29" s="15" t="n">
        <v>0.292156</v>
      </c>
      <c r="AA29" s="15" t="n">
        <v>0.049735</v>
      </c>
      <c r="AB29" s="15" t="n">
        <v>0.064935</v>
      </c>
      <c r="AC29" s="15" t="n">
        <v>0.093054</v>
      </c>
      <c r="AD29" s="15" t="n">
        <v>0.114294</v>
      </c>
      <c r="AE29" s="15" t="n">
        <v>0.131094</v>
      </c>
      <c r="AF29" s="15" t="n">
        <v>0.145602</v>
      </c>
      <c r="AG29" s="15" t="n">
        <v>0.162255</v>
      </c>
      <c r="AH29" s="15" t="n">
        <v>0.182634</v>
      </c>
      <c r="AI29" s="15" t="n">
        <v>0.379951</v>
      </c>
      <c r="AJ29" s="15" t="n">
        <v>0.128386</v>
      </c>
      <c r="AK29" s="15" t="n">
        <v>-0.400172</v>
      </c>
      <c r="AL29" s="15" t="n">
        <v>0.230125</v>
      </c>
      <c r="AM29" s="15" t="n">
        <v>0.271027</v>
      </c>
      <c r="AN29" s="15" t="n">
        <v>-0.428326</v>
      </c>
      <c r="AO29" s="15" t="n">
        <v>0.137422</v>
      </c>
      <c r="AP29" s="15" t="n">
        <v>0.153458</v>
      </c>
      <c r="AQ29" s="15" t="n">
        <v>0.435569</v>
      </c>
      <c r="AR29" s="15" t="n">
        <v>0.208122</v>
      </c>
      <c r="AS29" s="15" t="n">
        <v>0.402146</v>
      </c>
      <c r="AT29" s="15" t="n">
        <v>0.367343</v>
      </c>
      <c r="AU29" s="15" t="n">
        <v>0.053261</v>
      </c>
      <c r="AV29" s="15" t="n">
        <v>1</v>
      </c>
      <c r="AW29" s="15" t="n">
        <v>102.854568</v>
      </c>
      <c r="AX29" s="15" t="n">
        <v>38.9</v>
      </c>
      <c r="AY29" s="15" t="n">
        <v>33.4</v>
      </c>
    </row>
    <row r="30" customFormat="false" ht="15" hidden="false" customHeight="false" outlineLevel="0" collapsed="false">
      <c r="A30" s="8" t="s">
        <v>151</v>
      </c>
      <c r="B30" s="15" t="n">
        <v>0.6</v>
      </c>
      <c r="C30" s="15" t="n">
        <v>0.33</v>
      </c>
      <c r="D30" s="15" t="n">
        <v>-0.69</v>
      </c>
      <c r="E30" s="15" t="n">
        <v>0.51</v>
      </c>
      <c r="F30" s="15" t="n">
        <v>0.26</v>
      </c>
      <c r="G30" s="15" t="n">
        <v>-0.49</v>
      </c>
      <c r="H30" s="15" t="n">
        <v>0.299151</v>
      </c>
      <c r="I30" s="15" t="n">
        <v>0.203587</v>
      </c>
      <c r="J30" s="15" t="n">
        <v>0.048775</v>
      </c>
      <c r="K30" s="15" t="n">
        <v>0.075806</v>
      </c>
      <c r="L30" s="15" t="n">
        <v>0.087249</v>
      </c>
      <c r="M30" s="15" t="n">
        <v>0.126756</v>
      </c>
      <c r="N30" s="15" t="n">
        <v>0.215728</v>
      </c>
      <c r="O30" s="15" t="n">
        <v>0.247522</v>
      </c>
      <c r="P30" s="15" t="n">
        <v>0.229573</v>
      </c>
      <c r="Q30" s="15" t="n">
        <v>0.285034</v>
      </c>
      <c r="R30" s="15" t="n">
        <v>0.162716</v>
      </c>
      <c r="S30" s="15" t="n">
        <v>0.256661</v>
      </c>
      <c r="T30" s="15" t="n">
        <v>-0.13188</v>
      </c>
      <c r="U30" s="15" t="n">
        <v>0.384355</v>
      </c>
      <c r="V30" s="15" t="n">
        <v>0.448725</v>
      </c>
      <c r="W30" s="15" t="n">
        <v>-0.503106</v>
      </c>
      <c r="X30" s="15" t="n">
        <v>0.261225</v>
      </c>
      <c r="Y30" s="15" t="n">
        <v>0.3592</v>
      </c>
      <c r="Z30" s="15" t="n">
        <v>0.275368</v>
      </c>
      <c r="AA30" s="15" t="n">
        <v>0.046628</v>
      </c>
      <c r="AB30" s="15" t="n">
        <v>0.062111</v>
      </c>
      <c r="AC30" s="15" t="n">
        <v>0.086111</v>
      </c>
      <c r="AD30" s="15" t="n">
        <v>0.107091</v>
      </c>
      <c r="AE30" s="15" t="n">
        <v>0.123359</v>
      </c>
      <c r="AF30" s="15" t="n">
        <v>0.137621</v>
      </c>
      <c r="AG30" s="15" t="n">
        <v>0.15151</v>
      </c>
      <c r="AH30" s="15" t="n">
        <v>0.167489</v>
      </c>
      <c r="AI30" s="15" t="n">
        <v>0.384198</v>
      </c>
      <c r="AJ30" s="15" t="n">
        <v>0.124006</v>
      </c>
      <c r="AK30" s="15" t="n">
        <v>-0.406695</v>
      </c>
      <c r="AL30" s="15" t="n">
        <v>0.219953</v>
      </c>
      <c r="AM30" s="15" t="n">
        <v>0.275289</v>
      </c>
      <c r="AN30" s="15" t="n">
        <v>-0.418543</v>
      </c>
      <c r="AO30" s="15" t="n">
        <v>0.132995</v>
      </c>
      <c r="AP30" s="15" t="n">
        <v>0.146129</v>
      </c>
      <c r="AQ30" s="15" t="n">
        <v>0.453672</v>
      </c>
      <c r="AR30" s="15" t="n">
        <v>0.214527</v>
      </c>
      <c r="AS30" s="15" t="n">
        <v>0.421783</v>
      </c>
      <c r="AT30" s="15" t="n">
        <v>0.313638</v>
      </c>
      <c r="AU30" s="15" t="n">
        <v>0.277924</v>
      </c>
      <c r="AV30" s="15" t="n">
        <v>1</v>
      </c>
      <c r="AW30" s="15" t="n">
        <v>103.790718</v>
      </c>
      <c r="AX30" s="15" t="n">
        <v>39.4</v>
      </c>
      <c r="AY30" s="15" t="n">
        <v>29.666667</v>
      </c>
    </row>
    <row r="31" customFormat="false" ht="15" hidden="false" customHeight="false" outlineLevel="0" collapsed="false">
      <c r="A31" s="8" t="s">
        <v>152</v>
      </c>
      <c r="B31" s="15" t="n">
        <v>0.69</v>
      </c>
      <c r="C31" s="15" t="n">
        <v>0.39</v>
      </c>
      <c r="D31" s="15" t="n">
        <v>-0.74</v>
      </c>
      <c r="E31" s="15" t="n">
        <v>0.55</v>
      </c>
      <c r="F31" s="15" t="n">
        <v>0.26</v>
      </c>
      <c r="G31" s="15" t="n">
        <v>-0.47</v>
      </c>
      <c r="H31" s="15" t="n">
        <v>0.294796</v>
      </c>
      <c r="I31" s="15" t="n">
        <v>0.181221</v>
      </c>
      <c r="J31" s="15" t="n">
        <v>0.046635</v>
      </c>
      <c r="K31" s="15" t="n">
        <v>0.077158</v>
      </c>
      <c r="L31" s="15" t="n">
        <v>0.070542</v>
      </c>
      <c r="M31" s="15" t="n">
        <v>0.129101</v>
      </c>
      <c r="N31" s="15" t="n">
        <v>0.228139</v>
      </c>
      <c r="O31" s="15" t="n">
        <v>0.263264</v>
      </c>
      <c r="P31" s="15" t="n">
        <v>0.27572</v>
      </c>
      <c r="Q31" s="15" t="n">
        <v>0.301637</v>
      </c>
      <c r="R31" s="15" t="n">
        <v>0.062137</v>
      </c>
      <c r="S31" s="15" t="n">
        <v>0.380206</v>
      </c>
      <c r="T31" s="15" t="n">
        <v>-0.03299</v>
      </c>
      <c r="U31" s="15" t="n">
        <v>0.400512</v>
      </c>
      <c r="V31" s="15" t="n">
        <v>0.59248</v>
      </c>
      <c r="W31" s="15" t="n">
        <v>-0.562648</v>
      </c>
      <c r="X31" s="15" t="n">
        <v>0.363655</v>
      </c>
      <c r="Y31" s="15" t="n">
        <v>0.356472</v>
      </c>
      <c r="Z31" s="15" t="n">
        <v>0.271629</v>
      </c>
      <c r="AA31" s="15" t="n">
        <v>0.043181</v>
      </c>
      <c r="AB31" s="15" t="n">
        <v>0.057507</v>
      </c>
      <c r="AC31" s="15" t="n">
        <v>0.081825</v>
      </c>
      <c r="AD31" s="15" t="n">
        <v>0.10541</v>
      </c>
      <c r="AE31" s="15" t="n">
        <v>0.120332</v>
      </c>
      <c r="AF31" s="15" t="n">
        <v>0.133396</v>
      </c>
      <c r="AG31" s="15" t="n">
        <v>0.143671</v>
      </c>
      <c r="AH31" s="15" t="n">
        <v>0.168157</v>
      </c>
      <c r="AI31" s="15" t="n">
        <v>0.402055</v>
      </c>
      <c r="AJ31" s="15" t="n">
        <v>0.117949</v>
      </c>
      <c r="AK31" s="15" t="n">
        <v>-0.425268</v>
      </c>
      <c r="AL31" s="15" t="n">
        <v>0.230436</v>
      </c>
      <c r="AM31" s="15" t="n">
        <v>0.274376</v>
      </c>
      <c r="AN31" s="15" t="n">
        <v>-0.428344</v>
      </c>
      <c r="AO31" s="15" t="n">
        <v>0.127863</v>
      </c>
      <c r="AP31" s="15" t="n">
        <v>0.140212</v>
      </c>
      <c r="AQ31" s="15" t="n">
        <v>0.439517</v>
      </c>
      <c r="AR31" s="15" t="n">
        <v>0.213327</v>
      </c>
      <c r="AS31" s="15" t="n">
        <v>0.428645</v>
      </c>
      <c r="AT31" s="15" t="n">
        <v>0.28808</v>
      </c>
      <c r="AU31" s="15" t="n">
        <v>0.2631</v>
      </c>
      <c r="AV31" s="15" t="n">
        <v>1</v>
      </c>
      <c r="AW31" s="15" t="n">
        <v>103.355301</v>
      </c>
      <c r="AX31" s="15" t="n">
        <v>39.833333</v>
      </c>
      <c r="AY31" s="15" t="n">
        <v>28.933333</v>
      </c>
    </row>
    <row r="32" customFormat="false" ht="15" hidden="false" customHeight="false" outlineLevel="0" collapsed="false">
      <c r="A32" s="8" t="s">
        <v>153</v>
      </c>
      <c r="B32" s="15" t="n">
        <v>0.61</v>
      </c>
      <c r="C32" s="15" t="n">
        <v>0.35</v>
      </c>
      <c r="D32" s="15" t="n">
        <v>-0.69</v>
      </c>
      <c r="E32" s="15" t="n">
        <v>0.55</v>
      </c>
      <c r="F32" s="15" t="n">
        <v>0.27</v>
      </c>
      <c r="G32" s="15" t="n">
        <v>-0.49</v>
      </c>
      <c r="H32" s="15" t="n">
        <v>0.296172</v>
      </c>
      <c r="I32" s="15" t="n">
        <v>0.178849</v>
      </c>
      <c r="J32" s="15" t="n">
        <v>0.050935</v>
      </c>
      <c r="K32" s="15" t="n">
        <v>0.077395</v>
      </c>
      <c r="L32" s="15" t="n">
        <v>0.075986</v>
      </c>
      <c r="M32" s="15" t="n">
        <v>0.130581</v>
      </c>
      <c r="N32" s="15" t="n">
        <v>0.214883</v>
      </c>
      <c r="O32" s="15" t="n">
        <v>0.246881</v>
      </c>
      <c r="P32" s="15" t="n">
        <v>0.258641</v>
      </c>
      <c r="Q32" s="15" t="n">
        <v>0.284909</v>
      </c>
      <c r="R32" s="15" t="n">
        <v>0.091781</v>
      </c>
      <c r="S32" s="15" t="n">
        <v>0.342668</v>
      </c>
      <c r="T32" s="15" t="n">
        <v>-0.06769</v>
      </c>
      <c r="U32" s="15" t="n">
        <v>0.371385</v>
      </c>
      <c r="V32" s="15" t="n">
        <v>0.545733</v>
      </c>
      <c r="W32" s="15" t="n">
        <v>-0.539264</v>
      </c>
      <c r="X32" s="15" t="n">
        <v>0.328231</v>
      </c>
      <c r="Y32" s="15" t="n">
        <v>0.368175</v>
      </c>
      <c r="Z32" s="15" t="n">
        <v>0.278794</v>
      </c>
      <c r="AA32" s="15" t="n">
        <v>0.047875</v>
      </c>
      <c r="AB32" s="15" t="n">
        <v>0.063737</v>
      </c>
      <c r="AC32" s="15" t="n">
        <v>0.092349</v>
      </c>
      <c r="AD32" s="15" t="n">
        <v>0.111178</v>
      </c>
      <c r="AE32" s="15" t="n">
        <v>0.127508</v>
      </c>
      <c r="AF32" s="15" t="n">
        <v>0.147943</v>
      </c>
      <c r="AG32" s="15" t="n">
        <v>0.159277</v>
      </c>
      <c r="AH32" s="15" t="n">
        <v>0.179431</v>
      </c>
      <c r="AI32" s="15" t="n">
        <v>0.379541</v>
      </c>
      <c r="AJ32" s="15" t="n">
        <v>0.123522</v>
      </c>
      <c r="AK32" s="15" t="n">
        <v>-0.396216</v>
      </c>
      <c r="AL32" s="15" t="n">
        <v>0.234565</v>
      </c>
      <c r="AM32" s="15" t="n">
        <v>0.266227</v>
      </c>
      <c r="AN32" s="15" t="n">
        <v>-0.428359</v>
      </c>
      <c r="AO32" s="15" t="n">
        <v>0.133545</v>
      </c>
      <c r="AP32" s="15" t="n">
        <v>0.149563</v>
      </c>
      <c r="AQ32" s="15" t="n">
        <v>0.459435</v>
      </c>
      <c r="AR32" s="15" t="n">
        <v>0.21898</v>
      </c>
      <c r="AS32" s="15" t="n">
        <v>0.422906</v>
      </c>
      <c r="AT32" s="15" t="n">
        <v>0.341779</v>
      </c>
      <c r="AU32" s="15" t="n">
        <v>-0.171478</v>
      </c>
      <c r="AV32" s="15" t="n">
        <v>0</v>
      </c>
      <c r="AW32" s="15" t="n">
        <v>103.746269</v>
      </c>
      <c r="AX32" s="15" t="n">
        <v>39.833333</v>
      </c>
      <c r="AY32" s="15" t="n">
        <v>28.933333</v>
      </c>
    </row>
    <row r="33" customFormat="false" ht="15" hidden="false" customHeight="false" outlineLevel="0" collapsed="false">
      <c r="A33" s="8" t="s">
        <v>154</v>
      </c>
      <c r="B33" s="15" t="n">
        <v>0.67</v>
      </c>
      <c r="C33" s="15" t="n">
        <v>0.37</v>
      </c>
      <c r="D33" s="15" t="n">
        <v>-0.72</v>
      </c>
      <c r="E33" s="15" t="n">
        <v>0.55</v>
      </c>
      <c r="F33" s="15" t="n">
        <v>0.26</v>
      </c>
      <c r="G33" s="15" t="n">
        <v>-0.49</v>
      </c>
      <c r="H33" s="15" t="n">
        <v>0.294256</v>
      </c>
      <c r="I33" s="15" t="n">
        <v>0.187497</v>
      </c>
      <c r="J33" s="15" t="n">
        <v>0.048674</v>
      </c>
      <c r="K33" s="15" t="n">
        <v>0.07447</v>
      </c>
      <c r="L33" s="15" t="n">
        <v>0.075885</v>
      </c>
      <c r="M33" s="15" t="n">
        <v>0.123124</v>
      </c>
      <c r="N33" s="15" t="n">
        <v>0.200973</v>
      </c>
      <c r="O33" s="15" t="n">
        <v>0.229947</v>
      </c>
      <c r="P33" s="15" t="n">
        <v>0.236807</v>
      </c>
      <c r="Q33" s="15" t="n">
        <v>0.265939</v>
      </c>
      <c r="R33" s="15" t="n">
        <v>0.12915</v>
      </c>
      <c r="S33" s="15" t="n">
        <v>0.30332</v>
      </c>
      <c r="T33" s="15" t="n">
        <v>-0.108211</v>
      </c>
      <c r="U33" s="15" t="n">
        <v>0.367068</v>
      </c>
      <c r="V33" s="15" t="n">
        <v>0.514632</v>
      </c>
      <c r="W33" s="15" t="n">
        <v>-0.521478</v>
      </c>
      <c r="X33" s="15" t="n">
        <v>0.297012</v>
      </c>
      <c r="Y33" s="15" t="n">
        <v>0.35555</v>
      </c>
      <c r="Z33" s="15" t="n">
        <v>0.272665</v>
      </c>
      <c r="AA33" s="15" t="n">
        <v>0.044365</v>
      </c>
      <c r="AB33" s="15" t="n">
        <v>0.058955</v>
      </c>
      <c r="AC33" s="15" t="n">
        <v>0.083694</v>
      </c>
      <c r="AD33" s="15" t="n">
        <v>0.104854</v>
      </c>
      <c r="AE33" s="15" t="n">
        <v>0.1194</v>
      </c>
      <c r="AF33" s="15" t="n">
        <v>0.135336</v>
      </c>
      <c r="AG33" s="15" t="n">
        <v>0.146365</v>
      </c>
      <c r="AH33" s="15" t="n">
        <v>0.16549</v>
      </c>
      <c r="AI33" s="15" t="n">
        <v>0.394472</v>
      </c>
      <c r="AJ33" s="15" t="n">
        <v>0.119041</v>
      </c>
      <c r="AK33" s="15" t="n">
        <v>-0.416805</v>
      </c>
      <c r="AL33" s="15" t="n">
        <v>0.224335</v>
      </c>
      <c r="AM33" s="15" t="n">
        <v>0.272387</v>
      </c>
      <c r="AN33" s="15" t="n">
        <v>-0.425506</v>
      </c>
      <c r="AO33" s="15" t="n">
        <v>0.128729</v>
      </c>
      <c r="AP33" s="15" t="n">
        <v>0.142238</v>
      </c>
      <c r="AQ33" s="15" t="n">
        <v>0.43581</v>
      </c>
      <c r="AR33" s="15" t="n">
        <v>0.215909</v>
      </c>
      <c r="AS33" s="15" t="n">
        <v>0.421743</v>
      </c>
      <c r="AT33" s="15" t="n">
        <v>0.331412</v>
      </c>
      <c r="AU33" s="15" t="n">
        <v>-0.191277</v>
      </c>
      <c r="AV33" s="15" t="n">
        <v>0</v>
      </c>
      <c r="AW33" s="15" t="n">
        <v>103.110138</v>
      </c>
      <c r="AX33" s="15" t="n">
        <v>40</v>
      </c>
      <c r="AY33" s="15" t="n">
        <v>27.4</v>
      </c>
    </row>
    <row r="34" customFormat="false" ht="15" hidden="false" customHeight="false" outlineLevel="0" collapsed="false">
      <c r="A34" s="8" t="s">
        <v>155</v>
      </c>
      <c r="B34" s="15" t="n">
        <v>0.65</v>
      </c>
      <c r="C34" s="15" t="n">
        <v>0.35</v>
      </c>
      <c r="D34" s="15" t="n">
        <v>-0.71</v>
      </c>
      <c r="E34" s="15" t="n">
        <v>0.55</v>
      </c>
      <c r="F34" s="15" t="n">
        <v>0.27</v>
      </c>
      <c r="G34" s="15" t="n">
        <v>-0.5</v>
      </c>
      <c r="H34" s="15" t="n">
        <v>0.302109</v>
      </c>
      <c r="I34" s="15" t="n">
        <v>0.198674</v>
      </c>
      <c r="J34" s="15" t="n">
        <v>0.050452</v>
      </c>
      <c r="K34" s="15" t="n">
        <v>0.075995</v>
      </c>
      <c r="L34" s="15" t="n">
        <v>0.077579</v>
      </c>
      <c r="M34" s="15" t="n">
        <v>0.124105</v>
      </c>
      <c r="N34" s="15" t="n">
        <v>0.193312</v>
      </c>
      <c r="O34" s="15" t="n">
        <v>0.219995</v>
      </c>
      <c r="P34" s="15" t="n">
        <v>0.232384</v>
      </c>
      <c r="Q34" s="15" t="n">
        <v>0.258589</v>
      </c>
      <c r="R34" s="15" t="n">
        <v>0.146179</v>
      </c>
      <c r="S34" s="15" t="n">
        <v>0.293388</v>
      </c>
      <c r="T34" s="15" t="n">
        <v>-0.130461</v>
      </c>
      <c r="U34" s="15" t="n">
        <v>0.351412</v>
      </c>
      <c r="V34" s="15" t="n">
        <v>0.499499</v>
      </c>
      <c r="W34" s="15" t="n">
        <v>-0.507122</v>
      </c>
      <c r="X34" s="15" t="n">
        <v>0.286699</v>
      </c>
      <c r="Y34" s="15" t="n">
        <v>0.358204</v>
      </c>
      <c r="Z34" s="15" t="n">
        <v>0.268488</v>
      </c>
      <c r="AA34" s="15" t="n">
        <v>0.045444</v>
      </c>
      <c r="AB34" s="15" t="n">
        <v>0.059116</v>
      </c>
      <c r="AC34" s="15" t="n">
        <v>0.085458</v>
      </c>
      <c r="AD34" s="15" t="n">
        <v>0.105496</v>
      </c>
      <c r="AE34" s="15" t="n">
        <v>0.121314</v>
      </c>
      <c r="AF34" s="15" t="n">
        <v>0.136789</v>
      </c>
      <c r="AG34" s="15" t="n">
        <v>0.150039</v>
      </c>
      <c r="AH34" s="15" t="n">
        <v>0.16786</v>
      </c>
      <c r="AI34" s="15" t="n">
        <v>0.388343</v>
      </c>
      <c r="AJ34" s="15" t="n">
        <v>0.122124</v>
      </c>
      <c r="AK34" s="15" t="n">
        <v>-0.409602</v>
      </c>
      <c r="AL34" s="15" t="n">
        <v>0.228137</v>
      </c>
      <c r="AM34" s="15" t="n">
        <v>0.274301</v>
      </c>
      <c r="AN34" s="15" t="n">
        <v>-0.434825</v>
      </c>
      <c r="AO34" s="15" t="n">
        <v>0.13171</v>
      </c>
      <c r="AP34" s="15" t="n">
        <v>0.155094</v>
      </c>
      <c r="AQ34" s="15" t="n">
        <v>0.426595</v>
      </c>
      <c r="AR34" s="15" t="n">
        <v>0.208306</v>
      </c>
      <c r="AS34" s="15" t="n">
        <v>0.412742</v>
      </c>
      <c r="AT34" s="15" t="n">
        <v>0.337399</v>
      </c>
      <c r="AU34" s="15" t="n">
        <v>-0.396004</v>
      </c>
      <c r="AV34" s="15" t="n">
        <v>0</v>
      </c>
      <c r="AW34" s="15" t="n">
        <v>103.22641</v>
      </c>
      <c r="AX34" s="15" t="n">
        <v>40</v>
      </c>
      <c r="AY34" s="15" t="n">
        <v>27.4</v>
      </c>
    </row>
    <row r="35" customFormat="false" ht="15" hidden="false" customHeight="false" outlineLevel="0" collapsed="false">
      <c r="A35" s="8" t="s">
        <v>156</v>
      </c>
      <c r="B35" s="15" t="n">
        <v>0.65</v>
      </c>
      <c r="C35" s="15" t="n">
        <v>0.38</v>
      </c>
      <c r="D35" s="15" t="n">
        <v>-0.71</v>
      </c>
      <c r="E35" s="15" t="n">
        <v>0.54</v>
      </c>
      <c r="F35" s="15" t="n">
        <v>0.24</v>
      </c>
      <c r="G35" s="15" t="n">
        <v>-0.44</v>
      </c>
      <c r="H35" s="15" t="n">
        <v>0.346205</v>
      </c>
      <c r="I35" s="15" t="n">
        <v>0.241788</v>
      </c>
      <c r="J35" s="15" t="n">
        <v>0.069635</v>
      </c>
      <c r="K35" s="15" t="n">
        <v>0.096221</v>
      </c>
      <c r="L35" s="15" t="n">
        <v>0.106339</v>
      </c>
      <c r="M35" s="15" t="n">
        <v>0.148631</v>
      </c>
      <c r="N35" s="15" t="n">
        <v>0.21943</v>
      </c>
      <c r="O35" s="15" t="n">
        <v>0.251334</v>
      </c>
      <c r="P35" s="15" t="n">
        <v>0.261296</v>
      </c>
      <c r="Q35" s="15" t="n">
        <v>0.286096</v>
      </c>
      <c r="R35" s="15" t="n">
        <v>0.154375</v>
      </c>
      <c r="S35" s="15" t="n">
        <v>0.281753</v>
      </c>
      <c r="T35" s="15" t="n">
        <v>-0.139626</v>
      </c>
      <c r="U35" s="15" t="n">
        <v>0.315919</v>
      </c>
      <c r="V35" s="15" t="n">
        <v>0.424099</v>
      </c>
      <c r="W35" s="15" t="n">
        <v>-0.462544</v>
      </c>
      <c r="X35" s="15" t="n">
        <v>0.268505</v>
      </c>
      <c r="Y35" s="15" t="n">
        <v>0.412254</v>
      </c>
      <c r="Z35" s="15" t="n">
        <v>0.33195</v>
      </c>
      <c r="AA35" s="15" t="n">
        <v>0.073401</v>
      </c>
      <c r="AB35" s="15" t="n">
        <v>0.089736</v>
      </c>
      <c r="AC35" s="15" t="n">
        <v>0.12182</v>
      </c>
      <c r="AD35" s="15" t="n">
        <v>0.144881</v>
      </c>
      <c r="AE35" s="15" t="n">
        <v>0.157591</v>
      </c>
      <c r="AF35" s="15" t="n">
        <v>0.177579</v>
      </c>
      <c r="AG35" s="15" t="n">
        <v>0.188871</v>
      </c>
      <c r="AH35" s="15" t="n">
        <v>0.207357</v>
      </c>
      <c r="AI35" s="15" t="n">
        <v>0.344653</v>
      </c>
      <c r="AJ35" s="15" t="n">
        <v>0.122356</v>
      </c>
      <c r="AK35" s="15" t="n">
        <v>-0.373596</v>
      </c>
      <c r="AL35" s="15" t="n">
        <v>0.17904</v>
      </c>
      <c r="AM35" s="15" t="n">
        <v>0.219685</v>
      </c>
      <c r="AN35" s="15" t="n">
        <v>-0.36111</v>
      </c>
      <c r="AO35" s="15" t="n">
        <v>0.124328</v>
      </c>
      <c r="AP35" s="15" t="n">
        <v>0.186621</v>
      </c>
      <c r="AQ35" s="15" t="n">
        <v>0.384709</v>
      </c>
      <c r="AR35" s="15" t="n">
        <v>0.153362</v>
      </c>
      <c r="AS35" s="15" t="n">
        <v>0.33079</v>
      </c>
      <c r="AT35" s="15" t="n">
        <v>0.410531</v>
      </c>
      <c r="AU35" s="15" t="n">
        <v>-0.130905</v>
      </c>
      <c r="AV35" s="15" t="n">
        <v>0</v>
      </c>
      <c r="AW35" s="15" t="n">
        <v>102.807793</v>
      </c>
      <c r="AX35" s="15" t="n">
        <v>42.266667</v>
      </c>
      <c r="AY35" s="15" t="n">
        <v>28.1</v>
      </c>
    </row>
    <row r="36" customFormat="false" ht="15" hidden="false" customHeight="false" outlineLevel="0" collapsed="false">
      <c r="A36" s="8" t="s">
        <v>157</v>
      </c>
      <c r="B36" s="15" t="n">
        <v>0.65</v>
      </c>
      <c r="C36" s="15" t="n">
        <v>0.36</v>
      </c>
      <c r="D36" s="15" t="n">
        <v>-0.7</v>
      </c>
      <c r="E36" s="15" t="n">
        <v>0.55</v>
      </c>
      <c r="F36" s="15" t="n">
        <v>0.26</v>
      </c>
      <c r="G36" s="15" t="n">
        <v>-0.48</v>
      </c>
      <c r="H36" s="15" t="n">
        <v>0.306281</v>
      </c>
      <c r="I36" s="15" t="n">
        <v>0.225656</v>
      </c>
      <c r="J36" s="15" t="n">
        <v>0.054441</v>
      </c>
      <c r="K36" s="15" t="n">
        <v>0.08003</v>
      </c>
      <c r="L36" s="15" t="n">
        <v>0.08915</v>
      </c>
      <c r="M36" s="15" t="n">
        <v>0.132664</v>
      </c>
      <c r="N36" s="15" t="n">
        <v>0.212425</v>
      </c>
      <c r="O36" s="15" t="n">
        <v>0.242393</v>
      </c>
      <c r="P36" s="15" t="n">
        <v>0.235973</v>
      </c>
      <c r="Q36" s="15" t="n">
        <v>0.275699</v>
      </c>
      <c r="R36" s="15" t="n">
        <v>0.153388</v>
      </c>
      <c r="S36" s="15" t="n">
        <v>0.26935</v>
      </c>
      <c r="T36" s="15" t="n">
        <v>-0.130037</v>
      </c>
      <c r="U36" s="15" t="n">
        <v>0.349776</v>
      </c>
      <c r="V36" s="15" t="n">
        <v>0.451592</v>
      </c>
      <c r="W36" s="15" t="n">
        <v>-0.492952</v>
      </c>
      <c r="X36" s="15" t="n">
        <v>0.266795</v>
      </c>
      <c r="Y36" s="15" t="n">
        <v>0.373092</v>
      </c>
      <c r="Z36" s="15" t="n">
        <v>0.284011</v>
      </c>
      <c r="AA36" s="15" t="n">
        <v>0.049452</v>
      </c>
      <c r="AB36" s="15" t="n">
        <v>0.065021</v>
      </c>
      <c r="AC36" s="15" t="n">
        <v>0.09092</v>
      </c>
      <c r="AD36" s="15" t="n">
        <v>0.112041</v>
      </c>
      <c r="AE36" s="15" t="n">
        <v>0.127998</v>
      </c>
      <c r="AF36" s="15" t="n">
        <v>0.141095</v>
      </c>
      <c r="AG36" s="15" t="n">
        <v>0.15531</v>
      </c>
      <c r="AH36" s="15" t="n">
        <v>0.1756</v>
      </c>
      <c r="AI36" s="15" t="n">
        <v>0.387665</v>
      </c>
      <c r="AJ36" s="15" t="n">
        <v>0.121043</v>
      </c>
      <c r="AK36" s="15" t="n">
        <v>-0.412169</v>
      </c>
      <c r="AL36" s="15" t="n">
        <v>0.220948</v>
      </c>
      <c r="AM36" s="15" t="n">
        <v>0.26151</v>
      </c>
      <c r="AN36" s="15" t="n">
        <v>-0.40982</v>
      </c>
      <c r="AO36" s="15" t="n">
        <v>0.129428</v>
      </c>
      <c r="AP36" s="15" t="n">
        <v>0.157357</v>
      </c>
      <c r="AQ36" s="15" t="n">
        <v>0.439766</v>
      </c>
      <c r="AR36" s="15" t="n">
        <v>0.210464</v>
      </c>
      <c r="AS36" s="15" t="n">
        <v>0.398243</v>
      </c>
      <c r="AT36" s="15" t="n">
        <v>0.335915</v>
      </c>
      <c r="AU36" s="15" t="n">
        <v>-0.183296</v>
      </c>
      <c r="AV36" s="15" t="n">
        <v>1</v>
      </c>
      <c r="AW36" s="15" t="n">
        <v>103.159065</v>
      </c>
      <c r="AX36" s="15" t="n">
        <v>44.6</v>
      </c>
      <c r="AY36" s="15" t="n">
        <v>26.066667</v>
      </c>
    </row>
    <row r="37" customFormat="false" ht="15" hidden="false" customHeight="false" outlineLevel="0" collapsed="false">
      <c r="A37" s="8" t="s">
        <v>158</v>
      </c>
      <c r="B37" s="15" t="n">
        <v>0.62</v>
      </c>
      <c r="C37" s="15" t="n">
        <v>0.35</v>
      </c>
      <c r="D37" s="15" t="n">
        <v>-0.69</v>
      </c>
      <c r="E37" s="15" t="n">
        <v>0.59</v>
      </c>
      <c r="F37" s="15" t="n">
        <v>0.26</v>
      </c>
      <c r="G37" s="15" t="n">
        <v>-0.47</v>
      </c>
      <c r="H37" s="15" t="n">
        <v>0.318791</v>
      </c>
      <c r="I37" s="15" t="n">
        <v>0.20581</v>
      </c>
      <c r="J37" s="15" t="n">
        <v>0.059342</v>
      </c>
      <c r="K37" s="15" t="n">
        <v>0.08419</v>
      </c>
      <c r="L37" s="15" t="n">
        <v>0.090344</v>
      </c>
      <c r="M37" s="15" t="n">
        <v>0.139067</v>
      </c>
      <c r="N37" s="15" t="n">
        <v>0.208267</v>
      </c>
      <c r="O37" s="15" t="n">
        <v>0.231938</v>
      </c>
      <c r="P37" s="15" t="n">
        <v>0.246437</v>
      </c>
      <c r="Q37" s="15" t="n">
        <v>0.273143</v>
      </c>
      <c r="R37" s="15" t="n">
        <v>0.144523</v>
      </c>
      <c r="S37" s="15" t="n">
        <v>0.290557</v>
      </c>
      <c r="T37" s="15" t="n">
        <v>-0.127986</v>
      </c>
      <c r="U37" s="15" t="n">
        <v>0.325299</v>
      </c>
      <c r="V37" s="15" t="n">
        <v>0.46352</v>
      </c>
      <c r="W37" s="15" t="n">
        <v>-0.490665</v>
      </c>
      <c r="X37" s="15" t="n">
        <v>0.279801</v>
      </c>
      <c r="Y37" s="15" t="n">
        <v>0.396371</v>
      </c>
      <c r="Z37" s="15" t="n">
        <v>0.303983</v>
      </c>
      <c r="AA37" s="15" t="n">
        <v>0.0592</v>
      </c>
      <c r="AB37" s="15" t="n">
        <v>0.075204</v>
      </c>
      <c r="AC37" s="15" t="n">
        <v>0.103578</v>
      </c>
      <c r="AD37" s="15" t="n">
        <v>0.122926</v>
      </c>
      <c r="AE37" s="15" t="n">
        <v>0.139974</v>
      </c>
      <c r="AF37" s="15" t="n">
        <v>0.154741</v>
      </c>
      <c r="AG37" s="15" t="n">
        <v>0.170671</v>
      </c>
      <c r="AH37" s="15" t="n">
        <v>0.187702</v>
      </c>
      <c r="AI37" s="15" t="n">
        <v>0.370156</v>
      </c>
      <c r="AJ37" s="15" t="n">
        <v>0.124421</v>
      </c>
      <c r="AK37" s="15" t="n">
        <v>-0.398123</v>
      </c>
      <c r="AL37" s="15" t="n">
        <v>0.208486</v>
      </c>
      <c r="AM37" s="15" t="n">
        <v>0.244817</v>
      </c>
      <c r="AN37" s="15" t="n">
        <v>-0.388577</v>
      </c>
      <c r="AO37" s="15" t="n">
        <v>0.129988</v>
      </c>
      <c r="AP37" s="15" t="n">
        <v>0.170558</v>
      </c>
      <c r="AQ37" s="15" t="n">
        <v>0.432515</v>
      </c>
      <c r="AR37" s="15" t="n">
        <v>0.187279</v>
      </c>
      <c r="AS37" s="15" t="n">
        <v>0.367049</v>
      </c>
      <c r="AT37" s="15" t="n">
        <v>0.367877</v>
      </c>
      <c r="AU37" s="15" t="n">
        <v>-0.324425</v>
      </c>
      <c r="AV37" s="15" t="n">
        <v>1</v>
      </c>
      <c r="AW37" s="15" t="n">
        <v>102.478203</v>
      </c>
      <c r="AX37" s="15" t="n">
        <v>42.7</v>
      </c>
      <c r="AY37" s="15" t="n">
        <v>26.966667</v>
      </c>
    </row>
    <row r="38" customFormat="false" ht="15" hidden="false" customHeight="false" outlineLevel="0" collapsed="false">
      <c r="A38" s="8" t="s">
        <v>159</v>
      </c>
      <c r="B38" s="15" t="n">
        <v>0.63</v>
      </c>
      <c r="C38" s="15" t="n">
        <v>0.34</v>
      </c>
      <c r="D38" s="15" t="n">
        <v>-0.69</v>
      </c>
      <c r="E38" s="15" t="n">
        <v>0.52</v>
      </c>
      <c r="F38" s="15" t="n">
        <v>0.26</v>
      </c>
      <c r="G38" s="15" t="n">
        <v>-0.47</v>
      </c>
      <c r="H38" s="15" t="n">
        <v>0.326806</v>
      </c>
      <c r="I38" s="15" t="n">
        <v>0.218757</v>
      </c>
      <c r="J38" s="15" t="n">
        <v>0.056037</v>
      </c>
      <c r="K38" s="15" t="n">
        <v>0.079815</v>
      </c>
      <c r="L38" s="15" t="n">
        <v>0.09719</v>
      </c>
      <c r="M38" s="15" t="n">
        <v>0.140459</v>
      </c>
      <c r="N38" s="15" t="n">
        <v>0.208254</v>
      </c>
      <c r="O38" s="15" t="n">
        <v>0.238976</v>
      </c>
      <c r="P38" s="15" t="n">
        <v>0.240673</v>
      </c>
      <c r="Q38" s="15" t="n">
        <v>0.268989</v>
      </c>
      <c r="R38" s="15" t="n">
        <v>0.176541</v>
      </c>
      <c r="S38" s="15" t="n">
        <v>0.256024</v>
      </c>
      <c r="T38" s="15" t="n">
        <v>-0.151825</v>
      </c>
      <c r="U38" s="15" t="n">
        <v>0.313915</v>
      </c>
      <c r="V38" s="15" t="n">
        <v>0.425188</v>
      </c>
      <c r="W38" s="15" t="n">
        <v>-0.501894</v>
      </c>
      <c r="X38" s="15" t="n">
        <v>0.256969</v>
      </c>
      <c r="Y38" s="15" t="n">
        <v>0.399204</v>
      </c>
      <c r="Z38" s="15" t="n">
        <v>0.302883</v>
      </c>
      <c r="AA38" s="15" t="n">
        <v>0.055127</v>
      </c>
      <c r="AB38" s="15" t="n">
        <v>0.070876</v>
      </c>
      <c r="AC38" s="15" t="n">
        <v>0.099322</v>
      </c>
      <c r="AD38" s="15" t="n">
        <v>0.12139</v>
      </c>
      <c r="AE38" s="15" t="n">
        <v>0.138749</v>
      </c>
      <c r="AF38" s="15" t="n">
        <v>0.151489</v>
      </c>
      <c r="AG38" s="15" t="n">
        <v>0.164236</v>
      </c>
      <c r="AH38" s="15" t="n">
        <v>0.186243</v>
      </c>
      <c r="AI38" s="15" t="n">
        <v>0.389226</v>
      </c>
      <c r="AJ38" s="15" t="n">
        <v>0.120518</v>
      </c>
      <c r="AK38" s="15" t="n">
        <v>-0.417175</v>
      </c>
      <c r="AL38" s="15" t="n">
        <v>0.210823</v>
      </c>
      <c r="AM38" s="15" t="n">
        <v>0.246907</v>
      </c>
      <c r="AN38" s="15" t="n">
        <v>-0.397745</v>
      </c>
      <c r="AO38" s="15" t="n">
        <v>0.127569</v>
      </c>
      <c r="AP38" s="15" t="n">
        <v>0.174537</v>
      </c>
      <c r="AQ38" s="15" t="n">
        <v>0.432556</v>
      </c>
      <c r="AR38" s="15" t="n">
        <v>0.194375</v>
      </c>
      <c r="AS38" s="15" t="n">
        <v>0.387682</v>
      </c>
      <c r="AT38" s="15" t="n">
        <v>0.340003</v>
      </c>
      <c r="AU38" s="15" t="n">
        <v>-0.07914</v>
      </c>
      <c r="AV38" s="15" t="n">
        <v>1</v>
      </c>
      <c r="AW38" s="15" t="n">
        <v>103.280098</v>
      </c>
      <c r="AX38" s="15" t="n">
        <v>42.7</v>
      </c>
      <c r="AY38" s="15" t="n">
        <v>26.966667</v>
      </c>
    </row>
    <row r="39" customFormat="false" ht="15" hidden="false" customHeight="false" outlineLevel="0" collapsed="false">
      <c r="A39" s="8" t="s">
        <v>160</v>
      </c>
      <c r="B39" s="15" t="n">
        <v>0.57</v>
      </c>
      <c r="C39" s="15" t="n">
        <v>0.3</v>
      </c>
      <c r="D39" s="15" t="n">
        <v>-0.67</v>
      </c>
      <c r="E39" s="15" t="n">
        <v>0.63</v>
      </c>
      <c r="F39" s="15" t="n">
        <v>0.27</v>
      </c>
      <c r="G39" s="15" t="n">
        <v>-0.5</v>
      </c>
      <c r="H39" s="15" t="n">
        <v>0.307562</v>
      </c>
      <c r="I39" s="15" t="n">
        <v>0.208458</v>
      </c>
      <c r="J39" s="15" t="n">
        <v>0.056092</v>
      </c>
      <c r="K39" s="15" t="n">
        <v>0.081382</v>
      </c>
      <c r="L39" s="15" t="n">
        <v>0.085983</v>
      </c>
      <c r="M39" s="15" t="n">
        <v>0.135306</v>
      </c>
      <c r="N39" s="15" t="n">
        <v>0.19625</v>
      </c>
      <c r="O39" s="15" t="n">
        <v>0.223638</v>
      </c>
      <c r="P39" s="15" t="n">
        <v>0.235771</v>
      </c>
      <c r="Q39" s="15" t="n">
        <v>0.262599</v>
      </c>
      <c r="R39" s="15" t="n">
        <v>0.148322</v>
      </c>
      <c r="S39" s="15" t="n">
        <v>0.281479</v>
      </c>
      <c r="T39" s="15" t="n">
        <v>-0.132128</v>
      </c>
      <c r="U39" s="15" t="n">
        <v>0.319911</v>
      </c>
      <c r="V39" s="15" t="n">
        <v>0.465659</v>
      </c>
      <c r="W39" s="15" t="n">
        <v>-0.486794</v>
      </c>
      <c r="X39" s="15" t="n">
        <v>0.273441</v>
      </c>
      <c r="Y39" s="15" t="n">
        <v>0.370758</v>
      </c>
      <c r="Z39" s="15" t="n">
        <v>0.277981</v>
      </c>
      <c r="AA39" s="15" t="n">
        <v>0.047182</v>
      </c>
      <c r="AB39" s="15" t="n">
        <v>0.063116</v>
      </c>
      <c r="AC39" s="15" t="n">
        <v>0.08886</v>
      </c>
      <c r="AD39" s="15" t="n">
        <v>0.111279</v>
      </c>
      <c r="AE39" s="15" t="n">
        <v>0.131919</v>
      </c>
      <c r="AF39" s="15" t="n">
        <v>0.150811</v>
      </c>
      <c r="AG39" s="15" t="n">
        <v>0.16357</v>
      </c>
      <c r="AH39" s="15" t="n">
        <v>0.184401</v>
      </c>
      <c r="AI39" s="15" t="n">
        <v>0.371233</v>
      </c>
      <c r="AJ39" s="15" t="n">
        <v>0.13909</v>
      </c>
      <c r="AK39" s="15" t="n">
        <v>-0.387754</v>
      </c>
      <c r="AL39" s="15" t="n">
        <v>0.24729</v>
      </c>
      <c r="AM39" s="15" t="n">
        <v>0.295966</v>
      </c>
      <c r="AN39" s="15" t="n">
        <v>-0.443179</v>
      </c>
      <c r="AO39" s="15" t="n">
        <v>0.148938</v>
      </c>
      <c r="AP39" s="15" t="n">
        <v>0.160626</v>
      </c>
      <c r="AQ39" s="15" t="n">
        <v>0.444042</v>
      </c>
      <c r="AR39" s="15" t="n">
        <v>0.202538</v>
      </c>
      <c r="AS39" s="15" t="n">
        <v>0.392442</v>
      </c>
      <c r="AT39" s="15" t="n">
        <v>0.344464</v>
      </c>
      <c r="AU39" s="15" t="n">
        <v>-0.173599</v>
      </c>
      <c r="AV39" s="15" t="n">
        <v>1</v>
      </c>
      <c r="AW39" s="15" t="n">
        <v>102.689911</v>
      </c>
      <c r="AX39" s="15" t="n">
        <v>42.7</v>
      </c>
      <c r="AY39" s="15" t="n">
        <v>26.966667</v>
      </c>
    </row>
    <row r="40" customFormat="false" ht="15" hidden="false" customHeight="false" outlineLevel="0" collapsed="false">
      <c r="A40" s="8" t="s">
        <v>161</v>
      </c>
      <c r="B40" s="15" t="n">
        <v>0.67</v>
      </c>
      <c r="C40" s="15" t="n">
        <v>0.36</v>
      </c>
      <c r="D40" s="15" t="n">
        <v>-0.7</v>
      </c>
      <c r="E40" s="15" t="n">
        <v>0.6</v>
      </c>
      <c r="F40" s="15" t="n">
        <v>0.28</v>
      </c>
      <c r="G40" s="15" t="n">
        <v>-0.51</v>
      </c>
      <c r="H40" s="15" t="n">
        <v>0.298871</v>
      </c>
      <c r="I40" s="15" t="n">
        <v>0.177519</v>
      </c>
      <c r="J40" s="15" t="n">
        <v>0.052113</v>
      </c>
      <c r="K40" s="15" t="n">
        <v>0.079646</v>
      </c>
      <c r="L40" s="15" t="n">
        <v>0.072781</v>
      </c>
      <c r="M40" s="15" t="n">
        <v>0.129931</v>
      </c>
      <c r="N40" s="15" t="n">
        <v>0.196636</v>
      </c>
      <c r="O40" s="15" t="n">
        <v>0.221071</v>
      </c>
      <c r="P40" s="15" t="n">
        <v>0.243327</v>
      </c>
      <c r="Q40" s="15" t="n">
        <v>0.257846</v>
      </c>
      <c r="R40" s="15" t="n">
        <v>0.114838</v>
      </c>
      <c r="S40" s="15" t="n">
        <v>0.330301</v>
      </c>
      <c r="T40" s="15" t="n">
        <v>-0.103392</v>
      </c>
      <c r="U40" s="15" t="n">
        <v>0.329887</v>
      </c>
      <c r="V40" s="15" t="n">
        <v>0.538395</v>
      </c>
      <c r="W40" s="15" t="n">
        <v>-0.505536</v>
      </c>
      <c r="X40" s="15" t="n">
        <v>0.313</v>
      </c>
      <c r="Y40" s="15" t="n">
        <v>0.367134</v>
      </c>
      <c r="Z40" s="15" t="n">
        <v>0.276936</v>
      </c>
      <c r="AA40" s="15" t="n">
        <v>0.045775</v>
      </c>
      <c r="AB40" s="15" t="n">
        <v>0.062693</v>
      </c>
      <c r="AC40" s="15" t="n">
        <v>0.087511</v>
      </c>
      <c r="AD40" s="15" t="n">
        <v>0.110212</v>
      </c>
      <c r="AE40" s="15" t="n">
        <v>0.132622</v>
      </c>
      <c r="AF40" s="15" t="n">
        <v>0.146234</v>
      </c>
      <c r="AG40" s="15" t="n">
        <v>0.162212</v>
      </c>
      <c r="AH40" s="15" t="n">
        <v>0.1834</v>
      </c>
      <c r="AI40" s="15" t="n">
        <v>0.372281</v>
      </c>
      <c r="AJ40" s="15" t="n">
        <v>0.138961</v>
      </c>
      <c r="AK40" s="15" t="n">
        <v>-0.387159</v>
      </c>
      <c r="AL40" s="15" t="n">
        <v>0.249279</v>
      </c>
      <c r="AM40" s="15" t="n">
        <v>0.299129</v>
      </c>
      <c r="AN40" s="15" t="n">
        <v>-0.442479</v>
      </c>
      <c r="AO40" s="15" t="n">
        <v>0.14945</v>
      </c>
      <c r="AP40" s="15" t="n">
        <v>0.149542</v>
      </c>
      <c r="AQ40" s="15" t="n">
        <v>0.476473</v>
      </c>
      <c r="AR40" s="15" t="n">
        <v>0.209466</v>
      </c>
      <c r="AS40" s="15" t="n">
        <v>0.405118</v>
      </c>
      <c r="AT40" s="15" t="n">
        <v>0.320172</v>
      </c>
      <c r="AU40" s="15" t="n">
        <v>0.139687</v>
      </c>
      <c r="AV40" s="15" t="n">
        <v>0</v>
      </c>
      <c r="AW40" s="15" t="n">
        <v>102.746689</v>
      </c>
      <c r="AX40" s="15" t="n">
        <v>44.133333</v>
      </c>
      <c r="AY40" s="15" t="n">
        <v>27.333333</v>
      </c>
    </row>
    <row r="41" customFormat="false" ht="15" hidden="false" customHeight="false" outlineLevel="0" collapsed="false">
      <c r="A41" s="8" t="s">
        <v>162</v>
      </c>
      <c r="B41" s="15" t="n">
        <v>0.53</v>
      </c>
      <c r="C41" s="15" t="n">
        <v>0.32</v>
      </c>
      <c r="D41" s="15" t="n">
        <v>-0.64</v>
      </c>
      <c r="E41" s="15" t="n">
        <v>0.56</v>
      </c>
      <c r="F41" s="15" t="n">
        <v>0.24</v>
      </c>
      <c r="G41" s="15" t="n">
        <v>-0.43</v>
      </c>
      <c r="H41" s="15" t="n">
        <v>0.373035</v>
      </c>
      <c r="I41" s="15" t="n">
        <v>0.299269</v>
      </c>
      <c r="J41" s="15" t="n">
        <v>0.084853</v>
      </c>
      <c r="K41" s="15" t="n">
        <v>0.108621</v>
      </c>
      <c r="L41" s="15" t="n">
        <v>0.127867</v>
      </c>
      <c r="M41" s="15" t="n">
        <v>0.157948</v>
      </c>
      <c r="N41" s="15" t="n">
        <v>0.228926</v>
      </c>
      <c r="O41" s="15" t="n">
        <v>0.256975</v>
      </c>
      <c r="P41" s="15" t="n">
        <v>0.262389</v>
      </c>
      <c r="Q41" s="15" t="n">
        <v>0.290541</v>
      </c>
      <c r="R41" s="15" t="n">
        <v>0.181505</v>
      </c>
      <c r="S41" s="15" t="n">
        <v>0.241267</v>
      </c>
      <c r="T41" s="15" t="n">
        <v>-0.174505</v>
      </c>
      <c r="U41" s="15" t="n">
        <v>0.295436</v>
      </c>
      <c r="V41" s="15" t="n">
        <v>0.344276</v>
      </c>
      <c r="W41" s="15" t="n">
        <v>-0.414075</v>
      </c>
      <c r="X41" s="15" t="n">
        <v>0.226442</v>
      </c>
      <c r="Y41" s="15" t="n">
        <v>0.419979</v>
      </c>
      <c r="Z41" s="15" t="n">
        <v>0.338222</v>
      </c>
      <c r="AA41" s="15" t="n">
        <v>0.083686</v>
      </c>
      <c r="AB41" s="15" t="n">
        <v>0.102668</v>
      </c>
      <c r="AC41" s="15" t="n">
        <v>0.135331</v>
      </c>
      <c r="AD41" s="15" t="n">
        <v>0.163371</v>
      </c>
      <c r="AE41" s="15" t="n">
        <v>0.179501</v>
      </c>
      <c r="AF41" s="15" t="n">
        <v>0.196554</v>
      </c>
      <c r="AG41" s="15" t="n">
        <v>0.19936</v>
      </c>
      <c r="AH41" s="15" t="n">
        <v>0.229193</v>
      </c>
      <c r="AI41" s="15" t="n">
        <v>0.325936</v>
      </c>
      <c r="AJ41" s="15" t="n">
        <v>0.115133</v>
      </c>
      <c r="AK41" s="15" t="n">
        <v>-0.35783</v>
      </c>
      <c r="AL41" s="15" t="n">
        <v>0.168233</v>
      </c>
      <c r="AM41" s="15" t="n">
        <v>0.190422</v>
      </c>
      <c r="AN41" s="15" t="n">
        <v>-0.319748</v>
      </c>
      <c r="AO41" s="15" t="n">
        <v>0.114605</v>
      </c>
      <c r="AP41" s="15" t="n">
        <v>0.198893</v>
      </c>
      <c r="AQ41" s="15" t="n">
        <v>0.412615</v>
      </c>
      <c r="AR41" s="15" t="n">
        <v>0.16222</v>
      </c>
      <c r="AS41" s="15" t="n">
        <v>0.308658</v>
      </c>
      <c r="AT41" s="15" t="n">
        <v>0.455497</v>
      </c>
      <c r="AU41" s="15" t="n">
        <v>0.021858</v>
      </c>
      <c r="AV41" s="15" t="n">
        <v>0</v>
      </c>
      <c r="AW41" s="15" t="n">
        <v>101.874252</v>
      </c>
      <c r="AX41" s="15" t="n">
        <v>43.466667</v>
      </c>
      <c r="AY41" s="15" t="n">
        <v>28</v>
      </c>
    </row>
    <row r="42" customFormat="false" ht="15" hidden="false" customHeight="false" outlineLevel="0" collapsed="false">
      <c r="A42" s="8" t="s">
        <v>163</v>
      </c>
      <c r="B42" s="15" t="n">
        <v>0.7</v>
      </c>
      <c r="C42" s="15" t="n">
        <v>0.38</v>
      </c>
      <c r="D42" s="15" t="n">
        <v>-0.74</v>
      </c>
      <c r="E42" s="15" t="n">
        <v>0.56</v>
      </c>
      <c r="F42" s="15" t="n">
        <v>0.29</v>
      </c>
      <c r="G42" s="15" t="n">
        <v>-0.51</v>
      </c>
      <c r="H42" s="15" t="n">
        <v>0.307372</v>
      </c>
      <c r="I42" s="15" t="n">
        <v>0.192321</v>
      </c>
      <c r="J42" s="15" t="n">
        <v>0.054284</v>
      </c>
      <c r="K42" s="15" t="n">
        <v>0.082058</v>
      </c>
      <c r="L42" s="15" t="n">
        <v>0.082022</v>
      </c>
      <c r="M42" s="15" t="n">
        <v>0.135439</v>
      </c>
      <c r="N42" s="15" t="n">
        <v>0.223919</v>
      </c>
      <c r="O42" s="15" t="n">
        <v>0.255993</v>
      </c>
      <c r="P42" s="15" t="n">
        <v>0.271165</v>
      </c>
      <c r="Q42" s="15" t="n">
        <v>0.293779</v>
      </c>
      <c r="R42" s="15" t="n">
        <v>0.089474</v>
      </c>
      <c r="S42" s="15" t="n">
        <v>0.348625</v>
      </c>
      <c r="T42" s="15" t="n">
        <v>-0.062628</v>
      </c>
      <c r="U42" s="15" t="n">
        <v>0.369067</v>
      </c>
      <c r="V42" s="15" t="n">
        <v>0.535465</v>
      </c>
      <c r="W42" s="15" t="n">
        <v>-0.535353</v>
      </c>
      <c r="X42" s="15" t="n">
        <v>0.332489</v>
      </c>
      <c r="Y42" s="15" t="n">
        <v>0.366558</v>
      </c>
      <c r="Z42" s="15" t="n">
        <v>0.274521</v>
      </c>
      <c r="AA42" s="15" t="n">
        <v>0.046819</v>
      </c>
      <c r="AB42" s="15" t="n">
        <v>0.062459</v>
      </c>
      <c r="AC42" s="15" t="n">
        <v>0.087021</v>
      </c>
      <c r="AD42" s="15" t="n">
        <v>0.111672</v>
      </c>
      <c r="AE42" s="15" t="n">
        <v>0.134707</v>
      </c>
      <c r="AF42" s="15" t="n">
        <v>0.151401</v>
      </c>
      <c r="AG42" s="15" t="n">
        <v>0.166796</v>
      </c>
      <c r="AH42" s="15" t="n">
        <v>0.187861</v>
      </c>
      <c r="AI42" s="15" t="n">
        <v>0.359691</v>
      </c>
      <c r="AJ42" s="15" t="n">
        <v>0.149066</v>
      </c>
      <c r="AK42" s="15" t="n">
        <v>-0.374558</v>
      </c>
      <c r="AL42" s="15" t="n">
        <v>0.254381</v>
      </c>
      <c r="AM42" s="15" t="n">
        <v>0.314332</v>
      </c>
      <c r="AN42" s="15" t="n">
        <v>-0.455081</v>
      </c>
      <c r="AO42" s="15" t="n">
        <v>0.158732</v>
      </c>
      <c r="AP42" s="15" t="n">
        <v>0.148233</v>
      </c>
      <c r="AQ42" s="15" t="n">
        <v>0.463468</v>
      </c>
      <c r="AR42" s="15" t="n">
        <v>0.198092</v>
      </c>
      <c r="AS42" s="15" t="n">
        <v>0.417554</v>
      </c>
      <c r="AT42" s="15" t="n">
        <v>0.28099</v>
      </c>
      <c r="AU42" s="15" t="n">
        <v>0.062508</v>
      </c>
      <c r="AV42" s="15" t="n">
        <v>1</v>
      </c>
      <c r="AW42" s="15" t="n">
        <v>101.547272</v>
      </c>
      <c r="AX42" s="15" t="n">
        <v>44.033333</v>
      </c>
      <c r="AY42" s="15" t="n">
        <v>28</v>
      </c>
    </row>
    <row r="43" customFormat="false" ht="15" hidden="false" customHeight="false" outlineLevel="0" collapsed="false">
      <c r="A43" s="8" t="s">
        <v>164</v>
      </c>
      <c r="B43" s="15" t="n">
        <v>0.59</v>
      </c>
      <c r="C43" s="15" t="n">
        <v>0.32</v>
      </c>
      <c r="D43" s="15" t="n">
        <v>-0.68</v>
      </c>
      <c r="E43" s="15" t="n">
        <v>0.56</v>
      </c>
      <c r="F43" s="15" t="n">
        <v>0.28</v>
      </c>
      <c r="G43" s="15" t="n">
        <v>-0.51</v>
      </c>
      <c r="H43" s="15" t="n">
        <v>0.289372</v>
      </c>
      <c r="I43" s="15" t="n">
        <v>0.19525</v>
      </c>
      <c r="J43" s="15" t="n">
        <v>0.052359</v>
      </c>
      <c r="K43" s="15" t="n">
        <v>0.077385</v>
      </c>
      <c r="L43" s="15" t="n">
        <v>0.089769</v>
      </c>
      <c r="M43" s="15" t="n">
        <v>0.139874</v>
      </c>
      <c r="N43" s="15" t="n">
        <v>0.206366</v>
      </c>
      <c r="O43" s="15" t="n">
        <v>0.237962</v>
      </c>
      <c r="P43" s="15" t="n">
        <v>0.242827</v>
      </c>
      <c r="Q43" s="15" t="n">
        <v>0.274611</v>
      </c>
      <c r="R43" s="15" t="n">
        <v>0.124506</v>
      </c>
      <c r="S43" s="15" t="n">
        <v>0.275503</v>
      </c>
      <c r="T43" s="15" t="n">
        <v>-0.087466</v>
      </c>
      <c r="U43" s="15" t="n">
        <v>0.325084</v>
      </c>
      <c r="V43" s="15" t="n">
        <v>0.460153</v>
      </c>
      <c r="W43" s="15" t="n">
        <v>-0.516574</v>
      </c>
      <c r="X43" s="15" t="n">
        <v>0.275726</v>
      </c>
      <c r="Y43" s="15" t="n">
        <v>0.362293</v>
      </c>
      <c r="Z43" s="15" t="n">
        <v>0.276162</v>
      </c>
      <c r="AA43" s="15" t="n">
        <v>0.044955</v>
      </c>
      <c r="AB43" s="15" t="n">
        <v>0.058825</v>
      </c>
      <c r="AC43" s="15" t="n">
        <v>0.08414</v>
      </c>
      <c r="AD43" s="15" t="n">
        <v>0.102977</v>
      </c>
      <c r="AE43" s="15" t="n">
        <v>0.119541</v>
      </c>
      <c r="AF43" s="15" t="n">
        <v>0.134679</v>
      </c>
      <c r="AG43" s="15" t="n">
        <v>0.148413</v>
      </c>
      <c r="AH43" s="15" t="n">
        <v>0.169183</v>
      </c>
      <c r="AI43" s="15" t="n">
        <v>0.395532</v>
      </c>
      <c r="AJ43" s="15" t="n">
        <v>0.122106</v>
      </c>
      <c r="AK43" s="15" t="n">
        <v>-0.418776</v>
      </c>
      <c r="AL43" s="15" t="n">
        <v>0.243253</v>
      </c>
      <c r="AM43" s="15" t="n">
        <v>0.276426</v>
      </c>
      <c r="AN43" s="15" t="n">
        <v>-0.43231</v>
      </c>
      <c r="AO43" s="15" t="n">
        <v>0.131612</v>
      </c>
      <c r="AP43" s="15" t="n">
        <v>0.151858</v>
      </c>
      <c r="AQ43" s="15" t="n">
        <v>0.50081</v>
      </c>
      <c r="AR43" s="15" t="n">
        <v>0.209847</v>
      </c>
      <c r="AS43" s="15" t="n">
        <v>0.41613</v>
      </c>
      <c r="AT43" s="15" t="n">
        <v>0.291083</v>
      </c>
      <c r="AU43" s="15" t="n">
        <v>-0.234009</v>
      </c>
      <c r="AV43" s="15" t="n">
        <v>0</v>
      </c>
      <c r="AW43" s="15" t="n">
        <v>102.552834</v>
      </c>
      <c r="AX43" s="15" t="n">
        <v>44.033333</v>
      </c>
      <c r="AY43" s="15" t="n">
        <v>28</v>
      </c>
    </row>
    <row r="44" customFormat="false" ht="15" hidden="false" customHeight="false" outlineLevel="0" collapsed="false">
      <c r="A44" s="8" t="s">
        <v>165</v>
      </c>
      <c r="B44" s="15" t="n">
        <v>0.5</v>
      </c>
      <c r="C44" s="15" t="n">
        <v>0.3</v>
      </c>
      <c r="D44" s="15" t="n">
        <v>-0.64</v>
      </c>
      <c r="E44" s="15" t="n">
        <v>0.61</v>
      </c>
      <c r="F44" s="15" t="n">
        <v>0.29</v>
      </c>
      <c r="G44" s="15" t="n">
        <v>-0.51</v>
      </c>
      <c r="H44" s="15" t="n">
        <v>0.302936</v>
      </c>
      <c r="I44" s="15" t="n">
        <v>0.20347</v>
      </c>
      <c r="J44" s="15" t="n">
        <v>0.056823</v>
      </c>
      <c r="K44" s="15" t="n">
        <v>0.078864</v>
      </c>
      <c r="L44" s="15" t="n">
        <v>0.088285</v>
      </c>
      <c r="M44" s="15" t="n">
        <v>0.1299</v>
      </c>
      <c r="N44" s="15" t="n">
        <v>0.195757</v>
      </c>
      <c r="O44" s="15" t="n">
        <v>0.226253</v>
      </c>
      <c r="P44" s="15" t="n">
        <v>0.228416</v>
      </c>
      <c r="Q44" s="15" t="n">
        <v>0.262252</v>
      </c>
      <c r="R44" s="15" t="n">
        <v>0.153315</v>
      </c>
      <c r="S44" s="15" t="n">
        <v>0.263668</v>
      </c>
      <c r="T44" s="15" t="n">
        <v>-0.136955</v>
      </c>
      <c r="U44" s="15" t="n">
        <v>0.337498</v>
      </c>
      <c r="V44" s="15" t="n">
        <v>0.441559</v>
      </c>
      <c r="W44" s="15" t="n">
        <v>-0.485598</v>
      </c>
      <c r="X44" s="15" t="n">
        <v>0.257147</v>
      </c>
      <c r="Y44" s="15" t="n">
        <v>0.328028</v>
      </c>
      <c r="Z44" s="15" t="n">
        <v>0.252037</v>
      </c>
      <c r="AA44" s="15" t="n">
        <v>0.053026</v>
      </c>
      <c r="AB44" s="15" t="n">
        <v>0.06976</v>
      </c>
      <c r="AC44" s="15" t="n">
        <v>0.098672</v>
      </c>
      <c r="AD44" s="15" t="n">
        <v>0.127349</v>
      </c>
      <c r="AE44" s="15" t="n">
        <v>0.158468</v>
      </c>
      <c r="AF44" s="15" t="n">
        <v>0.177484</v>
      </c>
      <c r="AG44" s="15" t="n">
        <v>0.161512</v>
      </c>
      <c r="AH44" s="15" t="n">
        <v>0.210954</v>
      </c>
      <c r="AI44" s="15" t="n">
        <v>0.327841</v>
      </c>
      <c r="AJ44" s="15" t="n">
        <v>0.116041</v>
      </c>
      <c r="AK44" s="15" t="n">
        <v>-0.332635</v>
      </c>
      <c r="AL44" s="15" t="n">
        <v>0.245589</v>
      </c>
      <c r="AM44" s="15" t="n">
        <v>0.2411</v>
      </c>
      <c r="AN44" s="15" t="n">
        <v>-0.396951</v>
      </c>
      <c r="AO44" s="15" t="n">
        <v>0.123795</v>
      </c>
      <c r="AP44" s="15" t="n">
        <v>0.132993</v>
      </c>
      <c r="AQ44" s="15" t="n">
        <v>0.525921</v>
      </c>
      <c r="AR44" s="15" t="n">
        <v>0.191412</v>
      </c>
      <c r="AS44" s="15" t="n">
        <v>0.402243</v>
      </c>
      <c r="AT44" s="15" t="n">
        <v>0.280334</v>
      </c>
      <c r="AU44" s="15" t="n">
        <v>-1.28772</v>
      </c>
      <c r="AV44" s="15" t="n">
        <v>3</v>
      </c>
      <c r="AW44" s="15" t="n">
        <v>102.062935</v>
      </c>
      <c r="AX44" s="15" t="n">
        <v>44.033333</v>
      </c>
      <c r="AY44" s="15" t="n">
        <v>28</v>
      </c>
    </row>
    <row r="45" customFormat="false" ht="15" hidden="false" customHeight="false" outlineLevel="0" collapsed="false">
      <c r="A45" s="8" t="s">
        <v>166</v>
      </c>
      <c r="B45" s="15" t="n">
        <v>0.44</v>
      </c>
      <c r="C45" s="15" t="n">
        <v>0.23</v>
      </c>
      <c r="D45" s="15" t="n">
        <v>-0.5</v>
      </c>
      <c r="E45" s="15" t="n">
        <v>0.66</v>
      </c>
      <c r="F45" s="15" t="n">
        <v>0.27</v>
      </c>
      <c r="G45" s="15" t="n">
        <v>-0.48</v>
      </c>
      <c r="H45" s="15" t="n">
        <v>0.341143</v>
      </c>
      <c r="I45" s="15" t="n">
        <v>0.252707</v>
      </c>
      <c r="J45" s="15" t="n">
        <v>0.064826</v>
      </c>
      <c r="K45" s="15" t="n">
        <v>0.09096</v>
      </c>
      <c r="L45" s="15" t="n">
        <v>0.102794</v>
      </c>
      <c r="M45" s="15" t="n">
        <v>0.149367</v>
      </c>
      <c r="N45" s="15" t="n">
        <v>0.2098</v>
      </c>
      <c r="O45" s="15" t="n">
        <v>0.236018</v>
      </c>
      <c r="P45" s="15" t="n">
        <v>0.242581</v>
      </c>
      <c r="Q45" s="15" t="n">
        <v>0.269667</v>
      </c>
      <c r="R45" s="15" t="n">
        <v>0.181668</v>
      </c>
      <c r="S45" s="15" t="n">
        <v>0.254509</v>
      </c>
      <c r="T45" s="15" t="n">
        <v>-0.168795</v>
      </c>
      <c r="U45" s="15" t="n">
        <v>0.287097</v>
      </c>
      <c r="V45" s="15" t="n">
        <v>0.404752</v>
      </c>
      <c r="W45" s="15" t="n">
        <v>-0.454573</v>
      </c>
      <c r="X45" s="15" t="n">
        <v>0.248032</v>
      </c>
      <c r="Y45" s="15" t="n">
        <v>0.409194</v>
      </c>
      <c r="Z45" s="15" t="n">
        <v>0.26043</v>
      </c>
      <c r="AA45" s="15" t="n">
        <v>0.0649</v>
      </c>
      <c r="AB45" s="15" t="n">
        <v>0.096488</v>
      </c>
      <c r="AC45" s="15" t="n">
        <v>0.140928</v>
      </c>
      <c r="AD45" s="15" t="n">
        <v>0.186382</v>
      </c>
      <c r="AE45" s="15" t="n">
        <v>0.224872</v>
      </c>
      <c r="AF45" s="15" t="n">
        <v>0.251049</v>
      </c>
      <c r="AG45" s="15" t="n">
        <v>0.262191</v>
      </c>
      <c r="AH45" s="15" t="n">
        <v>0.294499</v>
      </c>
      <c r="AI45" s="15" t="n">
        <v>0.25427</v>
      </c>
      <c r="AJ45" s="15" t="n">
        <v>0.186985</v>
      </c>
      <c r="AK45" s="15" t="n">
        <v>-0.219036</v>
      </c>
      <c r="AL45" s="15" t="n">
        <v>0.224805</v>
      </c>
      <c r="AM45" s="15" t="n">
        <v>0.300801</v>
      </c>
      <c r="AN45" s="15" t="n">
        <v>-0.461908</v>
      </c>
      <c r="AO45" s="15" t="n">
        <v>0.201374</v>
      </c>
      <c r="AP45" s="15" t="n">
        <v>0.197307</v>
      </c>
      <c r="AQ45" s="15" t="n">
        <v>0.501489</v>
      </c>
      <c r="AR45" s="15" t="n">
        <v>0.16584</v>
      </c>
      <c r="AS45" s="15" t="n">
        <v>0.325797</v>
      </c>
      <c r="AT45" s="15" t="n">
        <v>0.378097</v>
      </c>
      <c r="AU45" s="15" t="n">
        <v>-0.068832</v>
      </c>
      <c r="AV45" s="15" t="n">
        <v>2</v>
      </c>
      <c r="AW45" s="15" t="n">
        <v>102.1717</v>
      </c>
      <c r="AX45" s="15" t="n">
        <v>37.133333</v>
      </c>
      <c r="AY45" s="15" t="n">
        <v>37.133333</v>
      </c>
    </row>
    <row r="46" customFormat="false" ht="15" hidden="false" customHeight="false" outlineLevel="0" collapsed="false">
      <c r="A46" s="8" t="s">
        <v>167</v>
      </c>
      <c r="B46" s="15" t="n">
        <v>0.41</v>
      </c>
      <c r="C46" s="15" t="n">
        <v>0.23</v>
      </c>
      <c r="D46" s="15" t="n">
        <v>-0.5</v>
      </c>
      <c r="E46" s="15" t="n">
        <v>0.69</v>
      </c>
      <c r="F46" s="15" t="n">
        <v>0.29</v>
      </c>
      <c r="G46" s="15" t="n">
        <v>-0.51</v>
      </c>
      <c r="H46" s="15" t="n">
        <v>0.373313</v>
      </c>
      <c r="I46" s="15" t="n">
        <v>0.274857</v>
      </c>
      <c r="J46" s="15" t="n">
        <v>0.066759</v>
      </c>
      <c r="K46" s="15" t="n">
        <v>0.091563</v>
      </c>
      <c r="L46" s="15" t="n">
        <v>0.11122</v>
      </c>
      <c r="M46" s="15" t="n">
        <v>0.152235</v>
      </c>
      <c r="N46" s="15" t="n">
        <v>0.214041</v>
      </c>
      <c r="O46" s="15" t="n">
        <v>0.241907</v>
      </c>
      <c r="P46" s="15" t="n">
        <v>0.25095</v>
      </c>
      <c r="Q46" s="15" t="n">
        <v>0.280024</v>
      </c>
      <c r="R46" s="15" t="n">
        <v>0.20796</v>
      </c>
      <c r="S46" s="15" t="n">
        <v>0.246432</v>
      </c>
      <c r="T46" s="15" t="n">
        <v>-0.196047</v>
      </c>
      <c r="U46" s="15" t="n">
        <v>0.295662</v>
      </c>
      <c r="V46" s="15" t="n">
        <v>0.385845</v>
      </c>
      <c r="W46" s="15" t="n">
        <v>-0.465343</v>
      </c>
      <c r="X46" s="15" t="n">
        <v>0.243096</v>
      </c>
      <c r="Y46" s="15" t="n">
        <v>0.436575</v>
      </c>
      <c r="Z46" s="15" t="n">
        <v>0.279548</v>
      </c>
      <c r="AA46" s="15" t="n">
        <v>0.070509</v>
      </c>
      <c r="AB46" s="15" t="n">
        <v>0.102368</v>
      </c>
      <c r="AC46" s="15" t="n">
        <v>0.152321</v>
      </c>
      <c r="AD46" s="15" t="n">
        <v>0.195792</v>
      </c>
      <c r="AE46" s="15" t="n">
        <v>0.2327</v>
      </c>
      <c r="AF46" s="15" t="n">
        <v>0.261279</v>
      </c>
      <c r="AG46" s="15" t="n">
        <v>0.276917</v>
      </c>
      <c r="AH46" s="15" t="n">
        <v>0.308516</v>
      </c>
      <c r="AI46" s="15" t="n">
        <v>0.257916</v>
      </c>
      <c r="AJ46" s="15" t="n">
        <v>0.187421</v>
      </c>
      <c r="AK46" s="15" t="n">
        <v>-0.223766</v>
      </c>
      <c r="AL46" s="15" t="n">
        <v>0.223585</v>
      </c>
      <c r="AM46" s="15" t="n">
        <v>0.290424</v>
      </c>
      <c r="AN46" s="15" t="n">
        <v>-0.460332</v>
      </c>
      <c r="AO46" s="15" t="n">
        <v>0.201163</v>
      </c>
      <c r="AP46" s="15" t="n">
        <v>0.19239</v>
      </c>
      <c r="AQ46" s="15" t="n">
        <v>0.526513</v>
      </c>
      <c r="AR46" s="15" t="n">
        <v>0.168652</v>
      </c>
      <c r="AS46" s="15" t="n">
        <v>0.342561</v>
      </c>
      <c r="AT46" s="15" t="n">
        <v>0.283804</v>
      </c>
      <c r="AU46" s="15" t="n">
        <v>0.152473</v>
      </c>
      <c r="AV46" s="15" t="n">
        <v>0</v>
      </c>
      <c r="AW46" s="15" t="n">
        <v>102.634247</v>
      </c>
      <c r="AX46" s="15" t="n">
        <v>38.266667</v>
      </c>
      <c r="AY46" s="15" t="n">
        <v>35.433333</v>
      </c>
    </row>
    <row r="47" customFormat="false" ht="15" hidden="false" customHeight="false" outlineLevel="0" collapsed="false">
      <c r="A47" s="8" t="s">
        <v>168</v>
      </c>
      <c r="B47" s="15" t="n">
        <v>0.39</v>
      </c>
      <c r="C47" s="15" t="n">
        <v>0.22</v>
      </c>
      <c r="D47" s="15" t="n">
        <v>-0.49</v>
      </c>
      <c r="E47" s="15" t="n">
        <v>0.67</v>
      </c>
      <c r="F47" s="15" t="n">
        <v>0.27</v>
      </c>
      <c r="G47" s="15" t="n">
        <v>-0.49</v>
      </c>
      <c r="H47" s="15" t="n">
        <v>0.361864</v>
      </c>
      <c r="I47" s="15" t="n">
        <v>0.261182</v>
      </c>
      <c r="J47" s="15" t="n">
        <v>0.061008</v>
      </c>
      <c r="K47" s="15" t="n">
        <v>0.086372</v>
      </c>
      <c r="L47" s="15" t="n">
        <v>0.09938</v>
      </c>
      <c r="M47" s="15" t="n">
        <v>0.142114</v>
      </c>
      <c r="N47" s="15" t="n">
        <v>0.200757</v>
      </c>
      <c r="O47" s="15" t="n">
        <v>0.2272</v>
      </c>
      <c r="P47" s="15" t="n">
        <v>0.234679</v>
      </c>
      <c r="Q47" s="15" t="n">
        <v>0.262877</v>
      </c>
      <c r="R47" s="15" t="n">
        <v>0.21871</v>
      </c>
      <c r="S47" s="15" t="n">
        <v>0.246263</v>
      </c>
      <c r="T47" s="15" t="n">
        <v>-0.213219</v>
      </c>
      <c r="U47" s="15" t="n">
        <v>0.298114</v>
      </c>
      <c r="V47" s="15" t="n">
        <v>0.404971</v>
      </c>
      <c r="W47" s="15" t="n">
        <v>-0.461881</v>
      </c>
      <c r="X47" s="15" t="n">
        <v>0.243309</v>
      </c>
      <c r="Y47" s="15" t="n">
        <v>0.422509</v>
      </c>
      <c r="Z47" s="15" t="n">
        <v>0.279163</v>
      </c>
      <c r="AA47" s="15" t="n">
        <v>0.067983</v>
      </c>
      <c r="AB47" s="15" t="n">
        <v>0.096225</v>
      </c>
      <c r="AC47" s="15" t="n">
        <v>0.137705</v>
      </c>
      <c r="AD47" s="15" t="n">
        <v>0.177855</v>
      </c>
      <c r="AE47" s="15" t="n">
        <v>0.207985</v>
      </c>
      <c r="AF47" s="15" t="n">
        <v>0.233586</v>
      </c>
      <c r="AG47" s="15" t="n">
        <v>0.244624</v>
      </c>
      <c r="AH47" s="15" t="n">
        <v>0.275579</v>
      </c>
      <c r="AI47" s="15" t="n">
        <v>0.283689</v>
      </c>
      <c r="AJ47" s="15" t="n">
        <v>0.171248</v>
      </c>
      <c r="AK47" s="15" t="n">
        <v>-0.266652</v>
      </c>
      <c r="AL47" s="15" t="n">
        <v>0.21553</v>
      </c>
      <c r="AM47" s="15" t="n">
        <v>0.279663</v>
      </c>
      <c r="AN47" s="15" t="n">
        <v>-0.435374</v>
      </c>
      <c r="AO47" s="15" t="n">
        <v>0.181768</v>
      </c>
      <c r="AP47" s="15" t="n">
        <v>0.202151</v>
      </c>
      <c r="AQ47" s="15" t="n">
        <v>0.57364</v>
      </c>
      <c r="AR47" s="15" t="n">
        <v>0.182297</v>
      </c>
      <c r="AS47" s="15" t="n">
        <v>0.349253</v>
      </c>
      <c r="AT47" s="15" t="n">
        <v>0.291906</v>
      </c>
      <c r="AU47" s="15" t="n">
        <v>0.167023</v>
      </c>
      <c r="AV47" s="15" t="n">
        <v>1</v>
      </c>
      <c r="AW47" s="15" t="n">
        <v>102.813583</v>
      </c>
      <c r="AX47" s="15" t="n">
        <v>36.833333</v>
      </c>
      <c r="AY47" s="15" t="n">
        <v>36.833333</v>
      </c>
    </row>
    <row r="48" customFormat="false" ht="15" hidden="false" customHeight="false" outlineLevel="0" collapsed="false">
      <c r="A48" s="8" t="s">
        <v>169</v>
      </c>
      <c r="B48" s="15" t="n">
        <v>0.38</v>
      </c>
      <c r="C48" s="15" t="n">
        <v>0.21</v>
      </c>
      <c r="D48" s="15" t="n">
        <v>-0.51</v>
      </c>
      <c r="E48" s="15" t="n">
        <v>0.66</v>
      </c>
      <c r="F48" s="15" t="n">
        <v>0.26</v>
      </c>
      <c r="G48" s="15" t="n">
        <v>-0.48</v>
      </c>
      <c r="H48" s="15" t="n">
        <v>0.380839</v>
      </c>
      <c r="I48" s="15" t="n">
        <v>0.269876</v>
      </c>
      <c r="J48" s="15" t="n">
        <v>0.070711</v>
      </c>
      <c r="K48" s="15" t="n">
        <v>0.093932</v>
      </c>
      <c r="L48" s="15" t="n">
        <v>0.110681</v>
      </c>
      <c r="M48" s="15" t="n">
        <v>0.160328</v>
      </c>
      <c r="N48" s="15" t="n">
        <v>0.211406</v>
      </c>
      <c r="O48" s="15" t="n">
        <v>0.234829</v>
      </c>
      <c r="P48" s="15" t="n">
        <v>0.24445</v>
      </c>
      <c r="Q48" s="15" t="n">
        <v>0.273733</v>
      </c>
      <c r="R48" s="15" t="n">
        <v>0.218743</v>
      </c>
      <c r="S48" s="15" t="n">
        <v>0.242635</v>
      </c>
      <c r="T48" s="15" t="n">
        <v>-0.218252</v>
      </c>
      <c r="U48" s="15" t="n">
        <v>0.261303</v>
      </c>
      <c r="V48" s="15" t="n">
        <v>0.376719</v>
      </c>
      <c r="W48" s="15" t="n">
        <v>-0.444876</v>
      </c>
      <c r="X48" s="15" t="n">
        <v>0.234615</v>
      </c>
      <c r="Y48" s="15" t="n">
        <v>0.430113</v>
      </c>
      <c r="Z48" s="15" t="n">
        <v>0.286534</v>
      </c>
      <c r="AA48" s="15" t="n">
        <v>0.080777</v>
      </c>
      <c r="AB48" s="15" t="n">
        <v>0.108438</v>
      </c>
      <c r="AC48" s="15" t="n">
        <v>0.141507</v>
      </c>
      <c r="AD48" s="15" t="n">
        <v>0.182707</v>
      </c>
      <c r="AE48" s="15" t="n">
        <v>0.220144</v>
      </c>
      <c r="AF48" s="15" t="n">
        <v>0.239832</v>
      </c>
      <c r="AG48" s="15" t="n">
        <v>0.255155</v>
      </c>
      <c r="AH48" s="15" t="n">
        <v>0.28097</v>
      </c>
      <c r="AI48" s="15" t="n">
        <v>0.259719</v>
      </c>
      <c r="AJ48" s="15" t="n">
        <v>0.189595</v>
      </c>
      <c r="AK48" s="15" t="n">
        <v>-0.255352</v>
      </c>
      <c r="AL48" s="15" t="n">
        <v>0.211869</v>
      </c>
      <c r="AM48" s="15" t="n">
        <v>0.286516</v>
      </c>
      <c r="AN48" s="15" t="n">
        <v>-0.403516</v>
      </c>
      <c r="AO48" s="15" t="n">
        <v>0.190107</v>
      </c>
      <c r="AP48" s="15" t="n">
        <v>0.197899</v>
      </c>
      <c r="AQ48" s="15" t="n">
        <v>0.472247</v>
      </c>
      <c r="AR48" s="15" t="n">
        <v>0.14809</v>
      </c>
      <c r="AS48" s="15" t="n">
        <v>0.330787</v>
      </c>
      <c r="AT48" s="15" t="n">
        <v>0.308272</v>
      </c>
      <c r="AU48" s="15" t="n">
        <v>-0.278122</v>
      </c>
      <c r="AV48" s="15" t="n">
        <v>2</v>
      </c>
      <c r="AW48" s="15" t="n">
        <v>102.364632</v>
      </c>
      <c r="AX48" s="15" t="n">
        <v>36.833333</v>
      </c>
      <c r="AY48" s="15" t="n">
        <v>36.833333</v>
      </c>
    </row>
    <row r="49" customFormat="false" ht="15" hidden="false" customHeight="false" outlineLevel="0" collapsed="false">
      <c r="A49" s="8" t="s">
        <v>170</v>
      </c>
      <c r="B49" s="15" t="n">
        <v>0.41</v>
      </c>
      <c r="C49" s="15" t="n">
        <v>0.23</v>
      </c>
      <c r="D49" s="15" t="n">
        <v>-0.53</v>
      </c>
      <c r="E49" s="15" t="n">
        <v>0.67</v>
      </c>
      <c r="F49" s="15" t="n">
        <v>0.27</v>
      </c>
      <c r="G49" s="15" t="n">
        <v>-0.48</v>
      </c>
      <c r="H49" s="15" t="n">
        <v>0.36312</v>
      </c>
      <c r="I49" s="15" t="n">
        <v>0.257769</v>
      </c>
      <c r="J49" s="15" t="n">
        <v>0.06354</v>
      </c>
      <c r="K49" s="15" t="n">
        <v>0.089792</v>
      </c>
      <c r="L49" s="15" t="n">
        <v>0.102597</v>
      </c>
      <c r="M49" s="15" t="n">
        <v>0.156943</v>
      </c>
      <c r="N49" s="15" t="n">
        <v>0.205952</v>
      </c>
      <c r="O49" s="15" t="n">
        <v>0.234436</v>
      </c>
      <c r="P49" s="15" t="n">
        <v>0.245846</v>
      </c>
      <c r="Q49" s="15" t="n">
        <v>0.272043</v>
      </c>
      <c r="R49" s="15" t="n">
        <v>0.201679</v>
      </c>
      <c r="S49" s="15" t="n">
        <v>0.258606</v>
      </c>
      <c r="T49" s="15" t="n">
        <v>-0.192576</v>
      </c>
      <c r="U49" s="15" t="n">
        <v>0.26833</v>
      </c>
      <c r="V49" s="15" t="n">
        <v>0.411116</v>
      </c>
      <c r="W49" s="15" t="n">
        <v>-0.464933</v>
      </c>
      <c r="X49" s="15" t="n">
        <v>0.253253</v>
      </c>
      <c r="Y49" s="15" t="n">
        <v>0.433596</v>
      </c>
      <c r="Z49" s="15" t="n">
        <v>0.286615</v>
      </c>
      <c r="AA49" s="15" t="n">
        <v>0.072763</v>
      </c>
      <c r="AB49" s="15" t="n">
        <v>0.102151</v>
      </c>
      <c r="AC49" s="15" t="n">
        <v>0.143676</v>
      </c>
      <c r="AD49" s="15" t="n">
        <v>0.185661</v>
      </c>
      <c r="AE49" s="15" t="n">
        <v>0.222903</v>
      </c>
      <c r="AF49" s="15" t="n">
        <v>0.245987</v>
      </c>
      <c r="AG49" s="15" t="n">
        <v>0.256519</v>
      </c>
      <c r="AH49" s="15" t="n">
        <v>0.289859</v>
      </c>
      <c r="AI49" s="15" t="n">
        <v>0.273614</v>
      </c>
      <c r="AJ49" s="15" t="n">
        <v>0.179472</v>
      </c>
      <c r="AK49" s="15" t="n">
        <v>-0.256566</v>
      </c>
      <c r="AL49" s="15" t="n">
        <v>0.21915</v>
      </c>
      <c r="AM49" s="15" t="n">
        <v>0.28198</v>
      </c>
      <c r="AN49" s="15" t="n">
        <v>-0.430543</v>
      </c>
      <c r="AO49" s="15" t="n">
        <v>0.188029</v>
      </c>
      <c r="AP49" s="15" t="n">
        <v>0.198048</v>
      </c>
      <c r="AQ49" s="15" t="n">
        <v>0.584631</v>
      </c>
      <c r="AR49" s="15" t="n">
        <v>0.177695</v>
      </c>
      <c r="AS49" s="15" t="n">
        <v>0.359308</v>
      </c>
      <c r="AT49" s="15" t="n">
        <v>0.239103</v>
      </c>
      <c r="AU49" s="15" t="n">
        <v>1.702744</v>
      </c>
      <c r="AV49" s="15" t="n">
        <v>1</v>
      </c>
      <c r="AW49" s="15" t="n">
        <v>104.240578</v>
      </c>
      <c r="AX49" s="15" t="n">
        <v>38.266667</v>
      </c>
      <c r="AY49" s="15" t="n">
        <v>35.433333</v>
      </c>
    </row>
    <row r="50" customFormat="false" ht="15" hidden="false" customHeight="false" outlineLevel="0" collapsed="false">
      <c r="A50" s="8" t="s">
        <v>171</v>
      </c>
      <c r="B50" s="15" t="n">
        <v>0.4</v>
      </c>
      <c r="C50" s="15" t="n">
        <v>0.22</v>
      </c>
      <c r="D50" s="15" t="n">
        <v>-0.5</v>
      </c>
      <c r="E50" s="15" t="n">
        <v>0.66</v>
      </c>
      <c r="F50" s="15" t="n">
        <v>0.26</v>
      </c>
      <c r="G50" s="15" t="n">
        <v>-0.48</v>
      </c>
      <c r="H50" s="15" t="n">
        <v>0.364583</v>
      </c>
      <c r="I50" s="15" t="n">
        <v>0.259804</v>
      </c>
      <c r="J50" s="15" t="n">
        <v>0.063282</v>
      </c>
      <c r="K50" s="15" t="n">
        <v>0.086831</v>
      </c>
      <c r="L50" s="15" t="n">
        <v>0.102511</v>
      </c>
      <c r="M50" s="15" t="n">
        <v>0.145977</v>
      </c>
      <c r="N50" s="15" t="n">
        <v>0.202945</v>
      </c>
      <c r="O50" s="15" t="n">
        <v>0.229078</v>
      </c>
      <c r="P50" s="15" t="n">
        <v>0.238065</v>
      </c>
      <c r="Q50" s="15" t="n">
        <v>0.267319</v>
      </c>
      <c r="R50" s="15" t="n">
        <v>0.215694</v>
      </c>
      <c r="S50" s="15" t="n">
        <v>0.245857</v>
      </c>
      <c r="T50" s="15" t="n">
        <v>-0.209945</v>
      </c>
      <c r="U50" s="15" t="n">
        <v>0.293595</v>
      </c>
      <c r="V50" s="15" t="n">
        <v>0.398032</v>
      </c>
      <c r="W50" s="15" t="n">
        <v>-0.465492</v>
      </c>
      <c r="X50" s="15" t="n">
        <v>0.241896</v>
      </c>
      <c r="Y50" s="15" t="n">
        <v>0.432772</v>
      </c>
      <c r="Z50" s="15" t="n">
        <v>0.287509</v>
      </c>
      <c r="AA50" s="15" t="n">
        <v>0.075463</v>
      </c>
      <c r="AB50" s="15" t="n">
        <v>0.104248</v>
      </c>
      <c r="AC50" s="15" t="n">
        <v>0.14691</v>
      </c>
      <c r="AD50" s="15" t="n">
        <v>0.187329</v>
      </c>
      <c r="AE50" s="15" t="n">
        <v>0.222935</v>
      </c>
      <c r="AF50" s="15" t="n">
        <v>0.246144</v>
      </c>
      <c r="AG50" s="15" t="n">
        <v>0.256248</v>
      </c>
      <c r="AH50" s="15" t="n">
        <v>0.287273</v>
      </c>
      <c r="AI50" s="15" t="n">
        <v>0.272095</v>
      </c>
      <c r="AJ50" s="15" t="n">
        <v>0.174041</v>
      </c>
      <c r="AK50" s="15" t="n">
        <v>-0.256249</v>
      </c>
      <c r="AL50" s="15" t="n">
        <v>0.2106</v>
      </c>
      <c r="AM50" s="15" t="n">
        <v>0.271276</v>
      </c>
      <c r="AN50" s="15" t="n">
        <v>-0.421527</v>
      </c>
      <c r="AO50" s="15" t="n">
        <v>0.18159</v>
      </c>
      <c r="AP50" s="15" t="n">
        <v>0.207095</v>
      </c>
      <c r="AQ50" s="15" t="n">
        <v>0.544194</v>
      </c>
      <c r="AR50" s="15" t="n">
        <v>0.172494</v>
      </c>
      <c r="AS50" s="15" t="n">
        <v>0.342049</v>
      </c>
      <c r="AT50" s="15" t="n">
        <v>0.289386</v>
      </c>
      <c r="AU50" s="15" t="n">
        <v>-0.404739</v>
      </c>
      <c r="AV50" s="15" t="n">
        <v>0</v>
      </c>
      <c r="AW50" s="15" t="n">
        <v>102.336166</v>
      </c>
      <c r="AX50" s="15" t="n">
        <v>36.833333</v>
      </c>
      <c r="AY50" s="15" t="n">
        <v>36.833333</v>
      </c>
    </row>
    <row r="51" customFormat="false" ht="15" hidden="false" customHeight="false" outlineLevel="0" collapsed="false">
      <c r="A51" s="8" t="s">
        <v>172</v>
      </c>
      <c r="B51" s="15" t="n">
        <v>0.35</v>
      </c>
      <c r="C51" s="15" t="n">
        <v>0.19</v>
      </c>
      <c r="D51" s="15" t="n">
        <v>-0.46</v>
      </c>
      <c r="E51" s="15" t="n">
        <v>0.65</v>
      </c>
      <c r="F51" s="15" t="n">
        <v>0.25</v>
      </c>
      <c r="G51" s="15" t="n">
        <v>-0.47</v>
      </c>
      <c r="H51" s="15" t="n">
        <v>0.377319</v>
      </c>
      <c r="I51" s="15" t="n">
        <v>0.279945</v>
      </c>
      <c r="J51" s="15" t="n">
        <v>0.077007</v>
      </c>
      <c r="K51" s="15" t="n">
        <v>0.103312</v>
      </c>
      <c r="L51" s="15" t="n">
        <v>0.120793</v>
      </c>
      <c r="M51" s="15" t="n">
        <v>0.170029</v>
      </c>
      <c r="N51" s="15" t="n">
        <v>0.22133</v>
      </c>
      <c r="O51" s="15" t="n">
        <v>0.246656</v>
      </c>
      <c r="P51" s="15" t="n">
        <v>0.25848</v>
      </c>
      <c r="Q51" s="15" t="n">
        <v>0.282917</v>
      </c>
      <c r="R51" s="15" t="n">
        <v>0.195095</v>
      </c>
      <c r="S51" s="15" t="n">
        <v>0.244917</v>
      </c>
      <c r="T51" s="15" t="n">
        <v>-0.186937</v>
      </c>
      <c r="U51" s="15" t="n">
        <v>0.249187</v>
      </c>
      <c r="V51" s="15" t="n">
        <v>0.36302</v>
      </c>
      <c r="W51" s="15" t="n">
        <v>-0.428869</v>
      </c>
      <c r="X51" s="15" t="n">
        <v>0.234881</v>
      </c>
      <c r="Y51" s="15" t="n">
        <v>0.418809</v>
      </c>
      <c r="Z51" s="15" t="n">
        <v>0.285744</v>
      </c>
      <c r="AA51" s="15" t="n">
        <v>0.079425</v>
      </c>
      <c r="AB51" s="15" t="n">
        <v>0.105077</v>
      </c>
      <c r="AC51" s="15" t="n">
        <v>0.136039</v>
      </c>
      <c r="AD51" s="15" t="n">
        <v>0.178785</v>
      </c>
      <c r="AE51" s="15" t="n">
        <v>0.215483</v>
      </c>
      <c r="AF51" s="15" t="n">
        <v>0.237432</v>
      </c>
      <c r="AG51" s="15" t="n">
        <v>0.247773</v>
      </c>
      <c r="AH51" s="15" t="n">
        <v>0.276292</v>
      </c>
      <c r="AI51" s="15" t="n">
        <v>0.258111</v>
      </c>
      <c r="AJ51" s="15" t="n">
        <v>0.190274</v>
      </c>
      <c r="AK51" s="15" t="n">
        <v>-0.256597</v>
      </c>
      <c r="AL51" s="15" t="n">
        <v>0.214244</v>
      </c>
      <c r="AM51" s="15" t="n">
        <v>0.291143</v>
      </c>
      <c r="AN51" s="15" t="n">
        <v>-0.404512</v>
      </c>
      <c r="AO51" s="15" t="n">
        <v>0.189633</v>
      </c>
      <c r="AP51" s="15" t="n">
        <v>0.194787</v>
      </c>
      <c r="AQ51" s="15" t="n">
        <v>0.452986</v>
      </c>
      <c r="AR51" s="15" t="n">
        <v>0.145721</v>
      </c>
      <c r="AS51" s="15" t="n">
        <v>0.332328</v>
      </c>
      <c r="AT51" s="15" t="n">
        <v>0.288542</v>
      </c>
      <c r="AU51" s="15" t="n">
        <v>0.094109</v>
      </c>
      <c r="AV51" s="15" t="n">
        <v>0</v>
      </c>
      <c r="AW51" s="15" t="n">
        <v>102.587555</v>
      </c>
      <c r="AX51" s="15" t="n">
        <v>36.4</v>
      </c>
      <c r="AY51" s="15" t="n">
        <v>36.4</v>
      </c>
    </row>
    <row r="52" customFormat="false" ht="15" hidden="false" customHeight="false" outlineLevel="0" collapsed="false">
      <c r="A52" s="8" t="s">
        <v>173</v>
      </c>
      <c r="B52" s="15" t="n">
        <v>0.39</v>
      </c>
      <c r="C52" s="15" t="n">
        <v>0.21</v>
      </c>
      <c r="D52" s="15" t="n">
        <v>-0.5</v>
      </c>
      <c r="E52" s="15" t="n">
        <v>0.66</v>
      </c>
      <c r="F52" s="15" t="n">
        <v>0.26</v>
      </c>
      <c r="G52" s="15" t="n">
        <v>-0.46</v>
      </c>
      <c r="H52" s="15" t="n">
        <v>0.36855</v>
      </c>
      <c r="I52" s="15" t="n">
        <v>0.264076</v>
      </c>
      <c r="J52" s="15" t="n">
        <v>0.066092</v>
      </c>
      <c r="K52" s="15" t="n">
        <v>0.09108</v>
      </c>
      <c r="L52" s="15" t="n">
        <v>0.108845</v>
      </c>
      <c r="M52" s="15" t="n">
        <v>0.154573</v>
      </c>
      <c r="N52" s="15" t="n">
        <v>0.210534</v>
      </c>
      <c r="O52" s="15" t="n">
        <v>0.236401</v>
      </c>
      <c r="P52" s="15" t="n">
        <v>0.247492</v>
      </c>
      <c r="Q52" s="15" t="n">
        <v>0.27306</v>
      </c>
      <c r="R52" s="15" t="n">
        <v>0.207129</v>
      </c>
      <c r="S52" s="15" t="n">
        <v>0.246735</v>
      </c>
      <c r="T52" s="15" t="n">
        <v>-0.196531</v>
      </c>
      <c r="U52" s="15" t="n">
        <v>0.277094</v>
      </c>
      <c r="V52" s="15" t="n">
        <v>0.389069</v>
      </c>
      <c r="W52" s="15" t="n">
        <v>-0.462038</v>
      </c>
      <c r="X52" s="15" t="n">
        <v>0.242849</v>
      </c>
      <c r="Y52" s="15" t="n">
        <v>0.430392</v>
      </c>
      <c r="Z52" s="15" t="n">
        <v>0.286879</v>
      </c>
      <c r="AA52" s="15" t="n">
        <v>0.076035</v>
      </c>
      <c r="AB52" s="15" t="n">
        <v>0.104774</v>
      </c>
      <c r="AC52" s="15" t="n">
        <v>0.149063</v>
      </c>
      <c r="AD52" s="15" t="n">
        <v>0.19044</v>
      </c>
      <c r="AE52" s="15" t="n">
        <v>0.221324</v>
      </c>
      <c r="AF52" s="15" t="n">
        <v>0.247253</v>
      </c>
      <c r="AG52" s="15" t="n">
        <v>0.257491</v>
      </c>
      <c r="AH52" s="15" t="n">
        <v>0.290608</v>
      </c>
      <c r="AI52" s="15" t="n">
        <v>0.26938</v>
      </c>
      <c r="AJ52" s="15" t="n">
        <v>0.171387</v>
      </c>
      <c r="AK52" s="15" t="n">
        <v>-0.25137</v>
      </c>
      <c r="AL52" s="15" t="n">
        <v>0.208232</v>
      </c>
      <c r="AM52" s="15" t="n">
        <v>0.266703</v>
      </c>
      <c r="AN52" s="15" t="n">
        <v>-0.42155</v>
      </c>
      <c r="AO52" s="15" t="n">
        <v>0.179402</v>
      </c>
      <c r="AP52" s="15" t="n">
        <v>0.206652</v>
      </c>
      <c r="AQ52" s="15" t="n">
        <v>0.501349</v>
      </c>
      <c r="AR52" s="15" t="n">
        <v>0.155152</v>
      </c>
      <c r="AS52" s="15" t="n">
        <v>0.320533</v>
      </c>
      <c r="AT52" s="15" t="n">
        <v>0.357826</v>
      </c>
      <c r="AU52" s="15" t="n">
        <v>-0.180344</v>
      </c>
      <c r="AV52" s="15" t="n">
        <v>1</v>
      </c>
      <c r="AW52" s="15" t="n">
        <v>102.650291</v>
      </c>
      <c r="AX52" s="15" t="n">
        <v>38.266667</v>
      </c>
      <c r="AY52" s="15" t="n">
        <v>35.433333</v>
      </c>
    </row>
    <row r="53" customFormat="false" ht="15" hidden="false" customHeight="false" outlineLevel="0" collapsed="false">
      <c r="A53" s="8" t="s">
        <v>174</v>
      </c>
      <c r="B53" s="15" t="n">
        <v>0.41</v>
      </c>
      <c r="C53" s="15" t="n">
        <v>0.22</v>
      </c>
      <c r="D53" s="15" t="n">
        <v>-0.51</v>
      </c>
      <c r="E53" s="15" t="n">
        <v>0.67</v>
      </c>
      <c r="F53" s="15" t="n">
        <v>0.27</v>
      </c>
      <c r="G53" s="15" t="n">
        <v>-0.49</v>
      </c>
      <c r="H53" s="15" t="n">
        <v>0.363243</v>
      </c>
      <c r="I53" s="15" t="n">
        <v>0.254674</v>
      </c>
      <c r="J53" s="15" t="n">
        <v>0.058699</v>
      </c>
      <c r="K53" s="15" t="n">
        <v>0.081388</v>
      </c>
      <c r="L53" s="15" t="n">
        <v>0.098255</v>
      </c>
      <c r="M53" s="15" t="n">
        <v>0.14519</v>
      </c>
      <c r="N53" s="15" t="n">
        <v>0.201985</v>
      </c>
      <c r="O53" s="15" t="n">
        <v>0.229735</v>
      </c>
      <c r="P53" s="15" t="n">
        <v>0.24163</v>
      </c>
      <c r="Q53" s="15" t="n">
        <v>0.268459</v>
      </c>
      <c r="R53" s="15" t="n">
        <v>0.211545</v>
      </c>
      <c r="S53" s="15" t="n">
        <v>0.257773</v>
      </c>
      <c r="T53" s="15" t="n">
        <v>-0.201076</v>
      </c>
      <c r="U53" s="15" t="n">
        <v>0.298111</v>
      </c>
      <c r="V53" s="15" t="n">
        <v>0.422104</v>
      </c>
      <c r="W53" s="15" t="n">
        <v>-0.496155</v>
      </c>
      <c r="X53" s="15" t="n">
        <v>0.256099</v>
      </c>
      <c r="Y53" s="15" t="n">
        <v>0.442074</v>
      </c>
      <c r="Z53" s="15" t="n">
        <v>0.295202</v>
      </c>
      <c r="AA53" s="15" t="n">
        <v>0.07803</v>
      </c>
      <c r="AB53" s="15" t="n">
        <v>0.107914</v>
      </c>
      <c r="AC53" s="15" t="n">
        <v>0.153014</v>
      </c>
      <c r="AD53" s="15" t="n">
        <v>0.196507</v>
      </c>
      <c r="AE53" s="15" t="n">
        <v>0.228351</v>
      </c>
      <c r="AF53" s="15" t="n">
        <v>0.2534</v>
      </c>
      <c r="AG53" s="15" t="n">
        <v>0.26231</v>
      </c>
      <c r="AH53" s="15" t="n">
        <v>0.297221</v>
      </c>
      <c r="AI53" s="15" t="n">
        <v>0.272332</v>
      </c>
      <c r="AJ53" s="15" t="n">
        <v>0.171312</v>
      </c>
      <c r="AK53" s="15" t="n">
        <v>-0.255212</v>
      </c>
      <c r="AL53" s="15" t="n">
        <v>0.203994</v>
      </c>
      <c r="AM53" s="15" t="n">
        <v>0.263194</v>
      </c>
      <c r="AN53" s="15" t="n">
        <v>-0.417038</v>
      </c>
      <c r="AO53" s="15" t="n">
        <v>0.179118</v>
      </c>
      <c r="AP53" s="15" t="n">
        <v>0.206423</v>
      </c>
      <c r="AQ53" s="15" t="n">
        <v>0.497167</v>
      </c>
      <c r="AR53" s="15" t="n">
        <v>0.164038</v>
      </c>
      <c r="AS53" s="15" t="n">
        <v>0.333401</v>
      </c>
      <c r="AT53" s="15" t="n">
        <v>0.328533</v>
      </c>
      <c r="AU53" s="15" t="n">
        <v>-0.123848</v>
      </c>
      <c r="AV53" s="15" t="n">
        <v>1</v>
      </c>
      <c r="AW53" s="15" t="n">
        <v>102.685997</v>
      </c>
      <c r="AX53" s="15" t="n">
        <v>36.4</v>
      </c>
      <c r="AY53" s="15" t="n">
        <v>36.4</v>
      </c>
    </row>
    <row r="54" customFormat="false" ht="15" hidden="false" customHeight="false" outlineLevel="0" collapsed="false">
      <c r="A54" s="8" t="s">
        <v>175</v>
      </c>
      <c r="B54" s="15" t="n">
        <v>0.46</v>
      </c>
      <c r="C54" s="15" t="n">
        <v>0.24</v>
      </c>
      <c r="D54" s="15" t="n">
        <v>-0.53</v>
      </c>
      <c r="E54" s="15" t="n">
        <v>0.66</v>
      </c>
      <c r="F54" s="15" t="n">
        <v>0.26</v>
      </c>
      <c r="G54" s="15" t="n">
        <v>-0.47</v>
      </c>
      <c r="H54" s="15" t="n">
        <v>0.346155</v>
      </c>
      <c r="I54" s="15" t="n">
        <v>0.254702</v>
      </c>
      <c r="J54" s="15" t="n">
        <v>0.060836</v>
      </c>
      <c r="K54" s="15" t="n">
        <v>0.085477</v>
      </c>
      <c r="L54" s="15" t="n">
        <v>0.099243</v>
      </c>
      <c r="M54" s="15" t="n">
        <v>0.143315</v>
      </c>
      <c r="N54" s="15" t="n">
        <v>0.207116</v>
      </c>
      <c r="O54" s="15" t="n">
        <v>0.233129</v>
      </c>
      <c r="P54" s="15" t="n">
        <v>0.242926</v>
      </c>
      <c r="Q54" s="15" t="n">
        <v>0.268198</v>
      </c>
      <c r="R54" s="15" t="n">
        <v>0.189066</v>
      </c>
      <c r="S54" s="15" t="n">
        <v>0.259871</v>
      </c>
      <c r="T54" s="15" t="n">
        <v>-0.175263</v>
      </c>
      <c r="U54" s="15" t="n">
        <v>0.30337</v>
      </c>
      <c r="V54" s="15" t="n">
        <v>0.419872</v>
      </c>
      <c r="W54" s="15" t="n">
        <v>-0.479404</v>
      </c>
      <c r="X54" s="15" t="n">
        <v>0.255899</v>
      </c>
      <c r="Y54" s="15" t="n">
        <v>0.416626</v>
      </c>
      <c r="Z54" s="15" t="n">
        <v>0.266851</v>
      </c>
      <c r="AA54" s="15" t="n">
        <v>0.065364</v>
      </c>
      <c r="AB54" s="15" t="n">
        <v>0.097163</v>
      </c>
      <c r="AC54" s="15" t="n">
        <v>0.143204</v>
      </c>
      <c r="AD54" s="15" t="n">
        <v>0.187578</v>
      </c>
      <c r="AE54" s="15" t="n">
        <v>0.222169</v>
      </c>
      <c r="AF54" s="15" t="n">
        <v>0.253111</v>
      </c>
      <c r="AG54" s="15" t="n">
        <v>0.270004</v>
      </c>
      <c r="AH54" s="15" t="n">
        <v>0.300341</v>
      </c>
      <c r="AI54" s="15" t="n">
        <v>0.250773</v>
      </c>
      <c r="AJ54" s="15" t="n">
        <v>0.193391</v>
      </c>
      <c r="AK54" s="15" t="n">
        <v>-0.213569</v>
      </c>
      <c r="AL54" s="15" t="n">
        <v>0.231195</v>
      </c>
      <c r="AM54" s="15" t="n">
        <v>0.306913</v>
      </c>
      <c r="AN54" s="15" t="n">
        <v>-0.470744</v>
      </c>
      <c r="AO54" s="15" t="n">
        <v>0.20828</v>
      </c>
      <c r="AP54" s="15" t="n">
        <v>0.194059</v>
      </c>
      <c r="AQ54" s="15" t="n">
        <v>0.541921</v>
      </c>
      <c r="AR54" s="15" t="n">
        <v>0.180936</v>
      </c>
      <c r="AS54" s="15" t="n">
        <v>0.340387</v>
      </c>
      <c r="AT54" s="15" t="n">
        <v>0.310069</v>
      </c>
      <c r="AU54" s="15" t="n">
        <v>-0.37027</v>
      </c>
      <c r="AV54" s="15" t="n">
        <v>1</v>
      </c>
      <c r="AW54" s="15" t="n">
        <v>102.323929</v>
      </c>
      <c r="AX54" s="15" t="n">
        <v>36.833333</v>
      </c>
      <c r="AY54" s="15" t="n">
        <v>36.833333</v>
      </c>
    </row>
    <row r="55" customFormat="false" ht="15" hidden="false" customHeight="false" outlineLevel="0" collapsed="false">
      <c r="A55" s="8" t="s">
        <v>176</v>
      </c>
      <c r="B55" s="15" t="n">
        <v>0.39</v>
      </c>
      <c r="C55" s="15" t="n">
        <v>0.22</v>
      </c>
      <c r="D55" s="15" t="n">
        <v>-0.51</v>
      </c>
      <c r="E55" s="15" t="n">
        <v>0.65</v>
      </c>
      <c r="F55" s="15" t="n">
        <v>0.25</v>
      </c>
      <c r="G55" s="15" t="n">
        <v>-0.47</v>
      </c>
      <c r="H55" s="15" t="n">
        <v>0.385281</v>
      </c>
      <c r="I55" s="15" t="n">
        <v>0.279946</v>
      </c>
      <c r="J55" s="15" t="n">
        <v>0.066114</v>
      </c>
      <c r="K55" s="15" t="n">
        <v>0.08809</v>
      </c>
      <c r="L55" s="15" t="n">
        <v>0.105232</v>
      </c>
      <c r="M55" s="15" t="n">
        <v>0.15243</v>
      </c>
      <c r="N55" s="15" t="n">
        <v>0.202094</v>
      </c>
      <c r="O55" s="15" t="n">
        <v>0.229507</v>
      </c>
      <c r="P55" s="15" t="n">
        <v>0.238676</v>
      </c>
      <c r="Q55" s="15" t="n">
        <v>0.265844</v>
      </c>
      <c r="R55" s="15" t="n">
        <v>0.233549</v>
      </c>
      <c r="S55" s="15" t="n">
        <v>0.242772</v>
      </c>
      <c r="T55" s="15" t="n">
        <v>-0.234981</v>
      </c>
      <c r="U55" s="15" t="n">
        <v>0.271138</v>
      </c>
      <c r="V55" s="15" t="n">
        <v>0.388012</v>
      </c>
      <c r="W55" s="15" t="n">
        <v>-0.460867</v>
      </c>
      <c r="X55" s="15" t="n">
        <v>0.237181</v>
      </c>
      <c r="Y55" s="15" t="n">
        <v>0.365442</v>
      </c>
      <c r="Z55" s="15" t="n">
        <v>0.245243</v>
      </c>
      <c r="AA55" s="15" t="n">
        <v>0.062844</v>
      </c>
      <c r="AB55" s="15" t="n">
        <v>0.08456</v>
      </c>
      <c r="AC55" s="15" t="n">
        <v>0.11883</v>
      </c>
      <c r="AD55" s="15" t="n">
        <v>0.162648</v>
      </c>
      <c r="AE55" s="15" t="n">
        <v>0.195826</v>
      </c>
      <c r="AF55" s="15" t="n">
        <v>0.220015</v>
      </c>
      <c r="AG55" s="15" t="n">
        <v>0.206801</v>
      </c>
      <c r="AH55" s="15" t="n">
        <v>0.259489</v>
      </c>
      <c r="AI55" s="15" t="n">
        <v>0.288287</v>
      </c>
      <c r="AJ55" s="15" t="n">
        <v>0.148299</v>
      </c>
      <c r="AK55" s="15" t="n">
        <v>-0.284693</v>
      </c>
      <c r="AL55" s="15" t="n">
        <v>0.230552</v>
      </c>
      <c r="AM55" s="15" t="n">
        <v>0.261412</v>
      </c>
      <c r="AN55" s="15" t="n">
        <v>-0.410096</v>
      </c>
      <c r="AO55" s="15" t="n">
        <v>0.155619</v>
      </c>
      <c r="AP55" s="15" t="n">
        <v>0.206805</v>
      </c>
      <c r="AQ55" s="15" t="n">
        <v>0.50507</v>
      </c>
      <c r="AR55" s="15" t="n">
        <v>0.15766</v>
      </c>
      <c r="AS55" s="15" t="n">
        <v>0.324054</v>
      </c>
      <c r="AT55" s="15" t="n">
        <v>0.330433</v>
      </c>
      <c r="AU55" s="15" t="n">
        <v>-0.222443</v>
      </c>
      <c r="AV55" s="15" t="n">
        <v>1</v>
      </c>
      <c r="AW55" s="15" t="n">
        <v>102.361923</v>
      </c>
      <c r="AX55" s="15" t="n">
        <v>36.833333</v>
      </c>
      <c r="AY55" s="15" t="n">
        <v>36.833333</v>
      </c>
    </row>
    <row r="56" customFormat="false" ht="15" hidden="false" customHeight="false" outlineLevel="0" collapsed="false">
      <c r="A56" s="8" t="s">
        <v>177</v>
      </c>
      <c r="B56" s="15" t="n">
        <v>0.36</v>
      </c>
      <c r="C56" s="15" t="n">
        <v>0.21</v>
      </c>
      <c r="D56" s="15" t="n">
        <v>-0.48</v>
      </c>
      <c r="E56" s="15" t="n">
        <v>0.65</v>
      </c>
      <c r="F56" s="15" t="n">
        <v>0.25</v>
      </c>
      <c r="G56" s="15" t="n">
        <v>-0.46</v>
      </c>
      <c r="H56" s="15" t="n">
        <v>0.383439</v>
      </c>
      <c r="I56" s="15" t="n">
        <v>0.270514</v>
      </c>
      <c r="J56" s="15" t="n">
        <v>0.065606</v>
      </c>
      <c r="K56" s="15" t="n">
        <v>0.093867</v>
      </c>
      <c r="L56" s="15" t="n">
        <v>0.103849</v>
      </c>
      <c r="M56" s="15" t="n">
        <v>0.159093</v>
      </c>
      <c r="N56" s="15" t="n">
        <v>0.207063</v>
      </c>
      <c r="O56" s="15" t="n">
        <v>0.229763</v>
      </c>
      <c r="P56" s="15" t="n">
        <v>0.239024</v>
      </c>
      <c r="Q56" s="15" t="n">
        <v>0.268184</v>
      </c>
      <c r="R56" s="15" t="n">
        <v>0.230685</v>
      </c>
      <c r="S56" s="15" t="n">
        <v>0.246674</v>
      </c>
      <c r="T56" s="15" t="n">
        <v>-0.232017</v>
      </c>
      <c r="U56" s="15" t="n">
        <v>0.255313</v>
      </c>
      <c r="V56" s="15" t="n">
        <v>0.394279</v>
      </c>
      <c r="W56" s="15" t="n">
        <v>-0.436053</v>
      </c>
      <c r="X56" s="15" t="n">
        <v>0.240558</v>
      </c>
      <c r="Y56" s="15" t="n">
        <v>0.425231</v>
      </c>
      <c r="Z56" s="15" t="n">
        <v>0.281083</v>
      </c>
      <c r="AA56" s="15" t="n">
        <v>0.076704</v>
      </c>
      <c r="AB56" s="15" t="n">
        <v>0.103303</v>
      </c>
      <c r="AC56" s="15" t="n">
        <v>0.138054</v>
      </c>
      <c r="AD56" s="15" t="n">
        <v>0.178854</v>
      </c>
      <c r="AE56" s="15" t="n">
        <v>0.215866</v>
      </c>
      <c r="AF56" s="15" t="n">
        <v>0.239259</v>
      </c>
      <c r="AG56" s="15" t="n">
        <v>0.249708</v>
      </c>
      <c r="AH56" s="15" t="n">
        <v>0.27929</v>
      </c>
      <c r="AI56" s="15" t="n">
        <v>0.266262</v>
      </c>
      <c r="AJ56" s="15" t="n">
        <v>0.185889</v>
      </c>
      <c r="AK56" s="15" t="n">
        <v>-0.260088</v>
      </c>
      <c r="AL56" s="15" t="n">
        <v>0.219182</v>
      </c>
      <c r="AM56" s="15" t="n">
        <v>0.2881</v>
      </c>
      <c r="AN56" s="15" t="n">
        <v>-0.414658</v>
      </c>
      <c r="AO56" s="15" t="n">
        <v>0.188673</v>
      </c>
      <c r="AP56" s="15" t="n">
        <v>0.19457</v>
      </c>
      <c r="AQ56" s="15" t="n">
        <v>0.472134</v>
      </c>
      <c r="AR56" s="15" t="n">
        <v>0.147354</v>
      </c>
      <c r="AS56" s="15" t="n">
        <v>0.330735</v>
      </c>
      <c r="AT56" s="15" t="n">
        <v>0.305328</v>
      </c>
      <c r="AU56" s="15" t="n">
        <v>-0.404785</v>
      </c>
      <c r="AV56" s="15" t="n">
        <v>2</v>
      </c>
      <c r="AW56" s="15" t="n">
        <v>102.562698</v>
      </c>
      <c r="AX56" s="15" t="n">
        <v>36.033333</v>
      </c>
      <c r="AY56" s="15" t="n">
        <v>37.6</v>
      </c>
    </row>
    <row r="57" customFormat="false" ht="15" hidden="false" customHeight="false" outlineLevel="0" collapsed="false">
      <c r="A57" s="8" t="s">
        <v>178</v>
      </c>
      <c r="B57" s="15" t="n">
        <v>0.37</v>
      </c>
      <c r="C57" s="15" t="n">
        <v>0.2</v>
      </c>
      <c r="D57" s="15" t="n">
        <v>-0.47</v>
      </c>
      <c r="E57" s="15" t="n">
        <v>0.65</v>
      </c>
      <c r="F57" s="15" t="n">
        <v>0.26</v>
      </c>
      <c r="G57" s="15" t="n">
        <v>-0.46</v>
      </c>
      <c r="H57" s="15" t="n">
        <v>0.372886</v>
      </c>
      <c r="I57" s="15" t="n">
        <v>0.276076</v>
      </c>
      <c r="J57" s="15" t="n">
        <v>0.070584</v>
      </c>
      <c r="K57" s="15" t="n">
        <v>0.093877</v>
      </c>
      <c r="L57" s="15" t="n">
        <v>0.110917</v>
      </c>
      <c r="M57" s="15" t="n">
        <v>0.155496</v>
      </c>
      <c r="N57" s="15" t="n">
        <v>0.213034</v>
      </c>
      <c r="O57" s="15" t="n">
        <v>0.241216</v>
      </c>
      <c r="P57" s="15" t="n">
        <v>0.246438</v>
      </c>
      <c r="Q57" s="15" t="n">
        <v>0.279585</v>
      </c>
      <c r="R57" s="15" t="n">
        <v>0.208235</v>
      </c>
      <c r="S57" s="15" t="n">
        <v>0.245047</v>
      </c>
      <c r="T57" s="15" t="n">
        <v>-0.204137</v>
      </c>
      <c r="U57" s="15" t="n">
        <v>0.285214</v>
      </c>
      <c r="V57" s="15" t="n">
        <v>0.379219</v>
      </c>
      <c r="W57" s="15" t="n">
        <v>-0.448325</v>
      </c>
      <c r="X57" s="15" t="n">
        <v>0.237095</v>
      </c>
      <c r="Y57" s="15" t="n">
        <v>0.41343</v>
      </c>
      <c r="Z57" s="15" t="n">
        <v>0.268198</v>
      </c>
      <c r="AA57" s="15" t="n">
        <v>0.070344</v>
      </c>
      <c r="AB57" s="15" t="n">
        <v>0.096104</v>
      </c>
      <c r="AC57" s="15" t="n">
        <v>0.130275</v>
      </c>
      <c r="AD57" s="15" t="n">
        <v>0.170099</v>
      </c>
      <c r="AE57" s="15" t="n">
        <v>0.209841</v>
      </c>
      <c r="AF57" s="15" t="n">
        <v>0.231462</v>
      </c>
      <c r="AG57" s="15" t="n">
        <v>0.243539</v>
      </c>
      <c r="AH57" s="15" t="n">
        <v>0.271931</v>
      </c>
      <c r="AI57" s="15" t="n">
        <v>0.267991</v>
      </c>
      <c r="AJ57" s="15" t="n">
        <v>0.189234</v>
      </c>
      <c r="AK57" s="15" t="n">
        <v>-0.258664</v>
      </c>
      <c r="AL57" s="15" t="n">
        <v>0.230318</v>
      </c>
      <c r="AM57" s="15" t="n">
        <v>0.303078</v>
      </c>
      <c r="AN57" s="15" t="n">
        <v>-0.433976</v>
      </c>
      <c r="AO57" s="15" t="n">
        <v>0.194427</v>
      </c>
      <c r="AP57" s="15" t="n">
        <v>0.198138</v>
      </c>
      <c r="AQ57" s="15" t="n">
        <v>0.513542</v>
      </c>
      <c r="AR57" s="15" t="n">
        <v>0.157322</v>
      </c>
      <c r="AS57" s="15" t="n">
        <v>0.337853</v>
      </c>
      <c r="AT57" s="15" t="n">
        <v>0.287356</v>
      </c>
      <c r="AU57" s="15" t="n">
        <v>0.826691</v>
      </c>
      <c r="AV57" s="15" t="n">
        <v>1</v>
      </c>
      <c r="AW57" s="15" t="n">
        <v>103.331612</v>
      </c>
      <c r="AX57" s="15" t="n">
        <v>36.033333</v>
      </c>
      <c r="AY57" s="15" t="n">
        <v>37.6</v>
      </c>
    </row>
    <row r="58" customFormat="false" ht="15" hidden="false" customHeight="false" outlineLevel="0" collapsed="false">
      <c r="A58" s="8" t="s">
        <v>179</v>
      </c>
      <c r="B58" s="15" t="n">
        <v>0.38</v>
      </c>
      <c r="C58" s="15" t="n">
        <v>0.21</v>
      </c>
      <c r="D58" s="15" t="n">
        <v>-0.49</v>
      </c>
      <c r="E58" s="15" t="n">
        <v>0.69</v>
      </c>
      <c r="F58" s="15" t="n">
        <v>0.28</v>
      </c>
      <c r="G58" s="15" t="n">
        <v>-0.49</v>
      </c>
      <c r="H58" s="15" t="n">
        <v>0.37172</v>
      </c>
      <c r="I58" s="15" t="n">
        <v>0.253372</v>
      </c>
      <c r="J58" s="15" t="n">
        <v>0.065605</v>
      </c>
      <c r="K58" s="15" t="n">
        <v>0.093848</v>
      </c>
      <c r="L58" s="15" t="n">
        <v>0.104745</v>
      </c>
      <c r="M58" s="15" t="n">
        <v>0.153087</v>
      </c>
      <c r="N58" s="15" t="n">
        <v>0.199228</v>
      </c>
      <c r="O58" s="15" t="n">
        <v>0.224816</v>
      </c>
      <c r="P58" s="15" t="n">
        <v>0.238139</v>
      </c>
      <c r="Q58" s="15" t="n">
        <v>0.261011</v>
      </c>
      <c r="R58" s="15" t="n">
        <v>0.221454</v>
      </c>
      <c r="S58" s="15" t="n">
        <v>0.242615</v>
      </c>
      <c r="T58" s="15" t="n">
        <v>-0.219098</v>
      </c>
      <c r="U58" s="15" t="n">
        <v>0.260646</v>
      </c>
      <c r="V58" s="15" t="n">
        <v>0.389018</v>
      </c>
      <c r="W58" s="15" t="n">
        <v>-0.434664</v>
      </c>
      <c r="X58" s="15" t="n">
        <v>0.237367</v>
      </c>
      <c r="Y58" s="15" t="n">
        <v>0.426832</v>
      </c>
      <c r="Z58" s="15" t="n">
        <v>0.286285</v>
      </c>
      <c r="AA58" s="15" t="n">
        <v>0.079012</v>
      </c>
      <c r="AB58" s="15" t="n">
        <v>0.105178</v>
      </c>
      <c r="AC58" s="15" t="n">
        <v>0.136274</v>
      </c>
      <c r="AD58" s="15" t="n">
        <v>0.177219</v>
      </c>
      <c r="AE58" s="15" t="n">
        <v>0.214737</v>
      </c>
      <c r="AF58" s="15" t="n">
        <v>0.23659</v>
      </c>
      <c r="AG58" s="15" t="n">
        <v>0.24954</v>
      </c>
      <c r="AH58" s="15" t="n">
        <v>0.276832</v>
      </c>
      <c r="AI58" s="15" t="n">
        <v>0.263068</v>
      </c>
      <c r="AJ58" s="15" t="n">
        <v>0.192056</v>
      </c>
      <c r="AK58" s="15" t="n">
        <v>-0.262129</v>
      </c>
      <c r="AL58" s="15" t="n">
        <v>0.219395</v>
      </c>
      <c r="AM58" s="15" t="n">
        <v>0.293593</v>
      </c>
      <c r="AN58" s="15" t="n">
        <v>-0.407025</v>
      </c>
      <c r="AO58" s="15" t="n">
        <v>0.191799</v>
      </c>
      <c r="AP58" s="15" t="n">
        <v>0.200471</v>
      </c>
      <c r="AQ58" s="15" t="n">
        <v>0.47171</v>
      </c>
      <c r="AR58" s="15" t="n">
        <v>0.147924</v>
      </c>
      <c r="AS58" s="15" t="n">
        <v>0.324574</v>
      </c>
      <c r="AT58" s="15" t="n">
        <v>0.33555</v>
      </c>
      <c r="AU58" s="15" t="n">
        <v>-0.669052</v>
      </c>
      <c r="AV58" s="15" t="n">
        <v>0</v>
      </c>
      <c r="AW58" s="15" t="n">
        <v>101.984093</v>
      </c>
      <c r="AX58" s="15" t="n">
        <v>36.033333</v>
      </c>
      <c r="AY58" s="15" t="n">
        <v>37.6</v>
      </c>
    </row>
    <row r="59" customFormat="false" ht="15" hidden="false" customHeight="false" outlineLevel="0" collapsed="false">
      <c r="A59" s="8" t="s">
        <v>180</v>
      </c>
      <c r="B59" s="15" t="n">
        <v>0.43</v>
      </c>
      <c r="C59" s="15" t="n">
        <v>0.24</v>
      </c>
      <c r="D59" s="15" t="n">
        <v>-0.53</v>
      </c>
      <c r="E59" s="15" t="n">
        <v>0.67</v>
      </c>
      <c r="F59" s="15" t="n">
        <v>0.26</v>
      </c>
      <c r="G59" s="15" t="n">
        <v>-0.48</v>
      </c>
      <c r="H59" s="15" t="n">
        <v>0.362246</v>
      </c>
      <c r="I59" s="15" t="n">
        <v>0.248126</v>
      </c>
      <c r="J59" s="15" t="n">
        <v>0.058544</v>
      </c>
      <c r="K59" s="15" t="n">
        <v>0.082456</v>
      </c>
      <c r="L59" s="15" t="n">
        <v>0.095892</v>
      </c>
      <c r="M59" s="15" t="n">
        <v>0.147297</v>
      </c>
      <c r="N59" s="15" t="n">
        <v>0.206135</v>
      </c>
      <c r="O59" s="15" t="n">
        <v>0.239171</v>
      </c>
      <c r="P59" s="15" t="n">
        <v>0.242147</v>
      </c>
      <c r="Q59" s="15" t="n">
        <v>0.277653</v>
      </c>
      <c r="R59" s="15" t="n">
        <v>0.207406</v>
      </c>
      <c r="S59" s="15" t="n">
        <v>0.265289</v>
      </c>
      <c r="T59" s="15" t="n">
        <v>-0.198628</v>
      </c>
      <c r="U59" s="15" t="n">
        <v>0.306828</v>
      </c>
      <c r="V59" s="15" t="n">
        <v>0.432868</v>
      </c>
      <c r="W59" s="15" t="n">
        <v>-0.492072</v>
      </c>
      <c r="X59" s="15" t="n">
        <v>0.26181</v>
      </c>
      <c r="Y59" s="15" t="n">
        <v>0.435256</v>
      </c>
      <c r="Z59" s="15" t="n">
        <v>0.290152</v>
      </c>
      <c r="AA59" s="15" t="n">
        <v>0.073579</v>
      </c>
      <c r="AB59" s="15" t="n">
        <v>0.103216</v>
      </c>
      <c r="AC59" s="15" t="n">
        <v>0.143187</v>
      </c>
      <c r="AD59" s="15" t="n">
        <v>0.185371</v>
      </c>
      <c r="AE59" s="15" t="n">
        <v>0.21731</v>
      </c>
      <c r="AF59" s="15" t="n">
        <v>0.245141</v>
      </c>
      <c r="AG59" s="15" t="n">
        <v>0.25542</v>
      </c>
      <c r="AH59" s="15" t="n">
        <v>0.286998</v>
      </c>
      <c r="AI59" s="15" t="n">
        <v>0.274908</v>
      </c>
      <c r="AJ59" s="15" t="n">
        <v>0.179574</v>
      </c>
      <c r="AK59" s="15" t="n">
        <v>-0.260404</v>
      </c>
      <c r="AL59" s="15" t="n">
        <v>0.215151</v>
      </c>
      <c r="AM59" s="15" t="n">
        <v>0.281646</v>
      </c>
      <c r="AN59" s="15" t="n">
        <v>-0.424446</v>
      </c>
      <c r="AO59" s="15" t="n">
        <v>0.187357</v>
      </c>
      <c r="AP59" s="15" t="n">
        <v>0.197908</v>
      </c>
      <c r="AQ59" s="15" t="n">
        <v>0.511775</v>
      </c>
      <c r="AR59" s="15" t="n">
        <v>0.160359</v>
      </c>
      <c r="AS59" s="15" t="n">
        <v>0.339719</v>
      </c>
      <c r="AT59" s="15" t="n">
        <v>0.274423</v>
      </c>
      <c r="AU59" s="15" t="n">
        <v>0.219055</v>
      </c>
      <c r="AV59" s="15" t="n">
        <v>1</v>
      </c>
      <c r="AW59" s="15" t="n">
        <v>103.270439</v>
      </c>
      <c r="AX59" s="15" t="n">
        <v>37.833333</v>
      </c>
      <c r="AY59" s="15" t="n">
        <v>34.933333</v>
      </c>
    </row>
    <row r="60" customFormat="false" ht="15" hidden="false" customHeight="false" outlineLevel="0" collapsed="false">
      <c r="A60" s="8" t="s">
        <v>181</v>
      </c>
      <c r="B60" s="15" t="n">
        <v>0.39</v>
      </c>
      <c r="C60" s="15" t="n">
        <v>0.22</v>
      </c>
      <c r="D60" s="15" t="n">
        <v>-0.51</v>
      </c>
      <c r="E60" s="15" t="n">
        <v>0.66</v>
      </c>
      <c r="F60" s="15" t="n">
        <v>0.26</v>
      </c>
      <c r="G60" s="15" t="n">
        <v>-0.47</v>
      </c>
      <c r="H60" s="15" t="n">
        <v>0.373274</v>
      </c>
      <c r="I60" s="15" t="n">
        <v>0.25845</v>
      </c>
      <c r="J60" s="15" t="n">
        <v>0.063149</v>
      </c>
      <c r="K60" s="15" t="n">
        <v>0.086943</v>
      </c>
      <c r="L60" s="15" t="n">
        <v>0.105081</v>
      </c>
      <c r="M60" s="15" t="n">
        <v>0.146266</v>
      </c>
      <c r="N60" s="15" t="n">
        <v>0.203485</v>
      </c>
      <c r="O60" s="15" t="n">
        <v>0.227596</v>
      </c>
      <c r="P60" s="15" t="n">
        <v>0.242998</v>
      </c>
      <c r="Q60" s="15" t="n">
        <v>0.267333</v>
      </c>
      <c r="R60" s="15" t="n">
        <v>0.219522</v>
      </c>
      <c r="S60" s="15" t="n">
        <v>0.246333</v>
      </c>
      <c r="T60" s="15" t="n">
        <v>-0.211404</v>
      </c>
      <c r="U60" s="15" t="n">
        <v>0.29267</v>
      </c>
      <c r="V60" s="15" t="n">
        <v>0.396217</v>
      </c>
      <c r="W60" s="15" t="n">
        <v>-0.472997</v>
      </c>
      <c r="X60" s="15" t="n">
        <v>0.243931</v>
      </c>
      <c r="Y60" s="15" t="n">
        <v>0.443477</v>
      </c>
      <c r="Z60" s="15" t="n">
        <v>0.296447</v>
      </c>
      <c r="AA60" s="15" t="n">
        <v>0.076956</v>
      </c>
      <c r="AB60" s="15" t="n">
        <v>0.106714</v>
      </c>
      <c r="AC60" s="15" t="n">
        <v>0.148777</v>
      </c>
      <c r="AD60" s="15" t="n">
        <v>0.187585</v>
      </c>
      <c r="AE60" s="15" t="n">
        <v>0.220717</v>
      </c>
      <c r="AF60" s="15" t="n">
        <v>0.243768</v>
      </c>
      <c r="AG60" s="15" t="n">
        <v>0.256602</v>
      </c>
      <c r="AH60" s="15" t="n">
        <v>0.287523</v>
      </c>
      <c r="AI60" s="15" t="n">
        <v>0.279436</v>
      </c>
      <c r="AJ60" s="15" t="n">
        <v>0.171469</v>
      </c>
      <c r="AK60" s="15" t="n">
        <v>-0.266947</v>
      </c>
      <c r="AL60" s="15" t="n">
        <v>0.210363</v>
      </c>
      <c r="AM60" s="15" t="n">
        <v>0.265978</v>
      </c>
      <c r="AN60" s="15" t="n">
        <v>-0.412545</v>
      </c>
      <c r="AO60" s="15" t="n">
        <v>0.178635</v>
      </c>
      <c r="AP60" s="15" t="n">
        <v>0.208097</v>
      </c>
      <c r="AQ60" s="15" t="n">
        <v>0.495783</v>
      </c>
      <c r="AR60" s="15" t="n">
        <v>0.165395</v>
      </c>
      <c r="AS60" s="15" t="n">
        <v>0.344134</v>
      </c>
      <c r="AT60" s="15" t="n">
        <v>0.299396</v>
      </c>
      <c r="AU60" s="15" t="n">
        <v>0.168098</v>
      </c>
      <c r="AV60" s="15" t="n">
        <v>0</v>
      </c>
      <c r="AW60" s="15" t="n">
        <v>103.044388</v>
      </c>
      <c r="AX60" s="15" t="n">
        <v>36.4</v>
      </c>
      <c r="AY60" s="15" t="n">
        <v>36.4</v>
      </c>
    </row>
    <row r="61" customFormat="false" ht="15" hidden="false" customHeight="false" outlineLevel="0" collapsed="false">
      <c r="A61" s="8" t="s">
        <v>182</v>
      </c>
      <c r="B61" s="15" t="n">
        <v>0.39</v>
      </c>
      <c r="C61" s="15" t="n">
        <v>0.21</v>
      </c>
      <c r="D61" s="15" t="n">
        <v>-0.49</v>
      </c>
      <c r="E61" s="15" t="n">
        <v>0.67</v>
      </c>
      <c r="F61" s="15" t="n">
        <v>0.27</v>
      </c>
      <c r="G61" s="15" t="n">
        <v>-0.47</v>
      </c>
      <c r="H61" s="15" t="n">
        <v>0.364411</v>
      </c>
      <c r="I61" s="15" t="n">
        <v>0.257361</v>
      </c>
      <c r="J61" s="15" t="n">
        <v>0.064821</v>
      </c>
      <c r="K61" s="15" t="n">
        <v>0.090502</v>
      </c>
      <c r="L61" s="15" t="n">
        <v>0.101541</v>
      </c>
      <c r="M61" s="15" t="n">
        <v>0.144065</v>
      </c>
      <c r="N61" s="15" t="n">
        <v>0.188537</v>
      </c>
      <c r="O61" s="15" t="n">
        <v>0.214436</v>
      </c>
      <c r="P61" s="15" t="n">
        <v>0.230865</v>
      </c>
      <c r="Q61" s="15" t="n">
        <v>0.24937</v>
      </c>
      <c r="R61" s="15" t="n">
        <v>0.22253</v>
      </c>
      <c r="S61" s="15" t="n">
        <v>0.238802</v>
      </c>
      <c r="T61" s="15" t="n">
        <v>-0.222778</v>
      </c>
      <c r="U61" s="15" t="n">
        <v>0.269402</v>
      </c>
      <c r="V61" s="15" t="n">
        <v>0.389061</v>
      </c>
      <c r="W61" s="15" t="n">
        <v>-0.436806</v>
      </c>
      <c r="X61" s="15" t="n">
        <v>0.233039</v>
      </c>
      <c r="Y61" s="15" t="n">
        <v>0.402677</v>
      </c>
      <c r="Z61" s="15" t="n">
        <v>0.266715</v>
      </c>
      <c r="AA61" s="15" t="n">
        <v>0.065997</v>
      </c>
      <c r="AB61" s="15" t="n">
        <v>0.092975</v>
      </c>
      <c r="AC61" s="15" t="n">
        <v>0.129441</v>
      </c>
      <c r="AD61" s="15" t="n">
        <v>0.162901</v>
      </c>
      <c r="AE61" s="15" t="n">
        <v>0.202919</v>
      </c>
      <c r="AF61" s="15" t="n">
        <v>0.227455</v>
      </c>
      <c r="AG61" s="15" t="n">
        <v>0.251123</v>
      </c>
      <c r="AH61" s="15" t="n">
        <v>0.270424</v>
      </c>
      <c r="AI61" s="15" t="n">
        <v>0.251866</v>
      </c>
      <c r="AJ61" s="15" t="n">
        <v>0.198573</v>
      </c>
      <c r="AK61" s="15" t="n">
        <v>-0.229469</v>
      </c>
      <c r="AL61" s="15" t="n">
        <v>0.249501</v>
      </c>
      <c r="AM61" s="15" t="n">
        <v>0.319836</v>
      </c>
      <c r="AN61" s="15" t="n">
        <v>-0.460056</v>
      </c>
      <c r="AO61" s="15" t="n">
        <v>0.207298</v>
      </c>
      <c r="AP61" s="15" t="n">
        <v>0.192108</v>
      </c>
      <c r="AQ61" s="15" t="n">
        <v>0.489608</v>
      </c>
      <c r="AR61" s="15" t="n">
        <v>0.150599</v>
      </c>
      <c r="AS61" s="15" t="n">
        <v>0.325501</v>
      </c>
      <c r="AT61" s="15" t="n">
        <v>0.31967</v>
      </c>
      <c r="AU61" s="15" t="n">
        <v>-1.392387</v>
      </c>
      <c r="AV61" s="15" t="n">
        <v>2</v>
      </c>
      <c r="AW61" s="15" t="n">
        <v>101.91227</v>
      </c>
      <c r="AX61" s="15" t="n">
        <v>36.033333</v>
      </c>
      <c r="AY61" s="15" t="n">
        <v>37.6</v>
      </c>
    </row>
    <row r="62" customFormat="false" ht="15" hidden="false" customHeight="false" outlineLevel="0" collapsed="false">
      <c r="A62" s="8" t="s">
        <v>183</v>
      </c>
      <c r="B62" s="15" t="n">
        <v>0.4</v>
      </c>
      <c r="C62" s="15" t="n">
        <v>0.22</v>
      </c>
      <c r="D62" s="15" t="n">
        <v>-0.52</v>
      </c>
      <c r="E62" s="15" t="n">
        <v>0.65</v>
      </c>
      <c r="F62" s="15" t="n">
        <v>0.26</v>
      </c>
      <c r="G62" s="15" t="n">
        <v>-0.46</v>
      </c>
      <c r="H62" s="15" t="n">
        <v>0.361519</v>
      </c>
      <c r="I62" s="15" t="n">
        <v>0.248881</v>
      </c>
      <c r="J62" s="15" t="n">
        <v>0.06017</v>
      </c>
      <c r="K62" s="15" t="n">
        <v>0.083325</v>
      </c>
      <c r="L62" s="15" t="n">
        <v>0.09818</v>
      </c>
      <c r="M62" s="15" t="n">
        <v>0.14478</v>
      </c>
      <c r="N62" s="15" t="n">
        <v>0.191968</v>
      </c>
      <c r="O62" s="15" t="n">
        <v>0.215762</v>
      </c>
      <c r="P62" s="15" t="n">
        <v>0.228444</v>
      </c>
      <c r="Q62" s="15" t="n">
        <v>0.256632</v>
      </c>
      <c r="R62" s="15" t="n">
        <v>0.228593</v>
      </c>
      <c r="S62" s="15" t="n">
        <v>0.23837</v>
      </c>
      <c r="T62" s="15" t="n">
        <v>-0.225402</v>
      </c>
      <c r="U62" s="15" t="n">
        <v>0.278643</v>
      </c>
      <c r="V62" s="15" t="n">
        <v>0.398883</v>
      </c>
      <c r="W62" s="15" t="n">
        <v>-0.46551</v>
      </c>
      <c r="X62" s="15" t="n">
        <v>0.236377</v>
      </c>
      <c r="Y62" s="15" t="n">
        <v>0.437427</v>
      </c>
      <c r="Z62" s="15" t="n">
        <v>0.303048</v>
      </c>
      <c r="AA62" s="15" t="n">
        <v>0.075748</v>
      </c>
      <c r="AB62" s="15" t="n">
        <v>0.102779</v>
      </c>
      <c r="AC62" s="15" t="n">
        <v>0.141718</v>
      </c>
      <c r="AD62" s="15" t="n">
        <v>0.179613</v>
      </c>
      <c r="AE62" s="15" t="n">
        <v>0.212764</v>
      </c>
      <c r="AF62" s="15" t="n">
        <v>0.235315</v>
      </c>
      <c r="AG62" s="15" t="n">
        <v>0.248822</v>
      </c>
      <c r="AH62" s="15" t="n">
        <v>0.276619</v>
      </c>
      <c r="AI62" s="15" t="n">
        <v>0.281838</v>
      </c>
      <c r="AJ62" s="15" t="n">
        <v>0.175053</v>
      </c>
      <c r="AK62" s="15" t="n">
        <v>-0.274905</v>
      </c>
      <c r="AL62" s="15" t="n">
        <v>0.212669</v>
      </c>
      <c r="AM62" s="15" t="n">
        <v>0.274445</v>
      </c>
      <c r="AN62" s="15" t="n">
        <v>-0.415751</v>
      </c>
      <c r="AO62" s="15" t="n">
        <v>0.180419</v>
      </c>
      <c r="AP62" s="15" t="n">
        <v>0.21063</v>
      </c>
      <c r="AQ62" s="15" t="n">
        <v>0.469712</v>
      </c>
      <c r="AR62" s="15" t="n">
        <v>0.153379</v>
      </c>
      <c r="AS62" s="15" t="n">
        <v>0.313403</v>
      </c>
      <c r="AT62" s="15" t="n">
        <v>0.381016</v>
      </c>
      <c r="AU62" s="15" t="n">
        <v>-0.982933</v>
      </c>
      <c r="AV62" s="15" t="n">
        <v>0</v>
      </c>
      <c r="AW62" s="15" t="n">
        <v>102.36731</v>
      </c>
      <c r="AX62" s="15" t="n">
        <v>37.833333</v>
      </c>
      <c r="AY62" s="15" t="n">
        <v>34.933333</v>
      </c>
    </row>
    <row r="63" customFormat="false" ht="15" hidden="false" customHeight="false" outlineLevel="0" collapsed="false">
      <c r="A63" s="8" t="s">
        <v>184</v>
      </c>
      <c r="B63" s="15" t="n">
        <v>0.44</v>
      </c>
      <c r="C63" s="15" t="n">
        <v>0.24</v>
      </c>
      <c r="D63" s="15" t="n">
        <v>-0.53</v>
      </c>
      <c r="E63" s="15" t="n">
        <v>0.67</v>
      </c>
      <c r="F63" s="15" t="n">
        <v>0.27</v>
      </c>
      <c r="G63" s="15" t="n">
        <v>-0.49</v>
      </c>
      <c r="H63" s="15" t="n">
        <v>0.364411</v>
      </c>
      <c r="I63" s="15" t="n">
        <v>0.26295</v>
      </c>
      <c r="J63" s="15" t="n">
        <v>0.068476</v>
      </c>
      <c r="K63" s="15" t="n">
        <v>0.091995</v>
      </c>
      <c r="L63" s="15" t="n">
        <v>0.111517</v>
      </c>
      <c r="M63" s="15" t="n">
        <v>0.157319</v>
      </c>
      <c r="N63" s="15" t="n">
        <v>0.221166</v>
      </c>
      <c r="O63" s="15" t="n">
        <v>0.246791</v>
      </c>
      <c r="P63" s="15" t="n">
        <v>0.253993</v>
      </c>
      <c r="Q63" s="15" t="n">
        <v>0.281197</v>
      </c>
      <c r="R63" s="15" t="n">
        <v>0.192222</v>
      </c>
      <c r="S63" s="15" t="n">
        <v>0.252703</v>
      </c>
      <c r="T63" s="15" t="n">
        <v>-0.178572</v>
      </c>
      <c r="U63" s="15" t="n">
        <v>0.282503</v>
      </c>
      <c r="V63" s="15" t="n">
        <v>0.38978</v>
      </c>
      <c r="W63" s="15" t="n">
        <v>-0.468212</v>
      </c>
      <c r="X63" s="15" t="n">
        <v>0.246914</v>
      </c>
      <c r="Y63" s="15" t="n">
        <v>0.416198</v>
      </c>
      <c r="Z63" s="15" t="n">
        <v>0.270174</v>
      </c>
      <c r="AA63" s="15" t="n">
        <v>0.067737</v>
      </c>
      <c r="AB63" s="15" t="n">
        <v>0.098199</v>
      </c>
      <c r="AC63" s="15" t="n">
        <v>0.143423</v>
      </c>
      <c r="AD63" s="15" t="n">
        <v>0.188456</v>
      </c>
      <c r="AE63" s="15" t="n">
        <v>0.226938</v>
      </c>
      <c r="AF63" s="15" t="n">
        <v>0.256362</v>
      </c>
      <c r="AG63" s="15" t="n">
        <v>0.271437</v>
      </c>
      <c r="AH63" s="15" t="n">
        <v>0.303437</v>
      </c>
      <c r="AI63" s="15" t="n">
        <v>0.245272</v>
      </c>
      <c r="AJ63" s="15" t="n">
        <v>0.197077</v>
      </c>
      <c r="AK63" s="15" t="n">
        <v>-0.210513</v>
      </c>
      <c r="AL63" s="15" t="n">
        <v>0.233762</v>
      </c>
      <c r="AM63" s="15" t="n">
        <v>0.308634</v>
      </c>
      <c r="AN63" s="15" t="n">
        <v>-0.468709</v>
      </c>
      <c r="AO63" s="15" t="n">
        <v>0.209905</v>
      </c>
      <c r="AP63" s="15" t="n">
        <v>0.187514</v>
      </c>
      <c r="AQ63" s="15" t="n">
        <v>0.518277</v>
      </c>
      <c r="AR63" s="15" t="n">
        <v>0.174673</v>
      </c>
      <c r="AS63" s="15" t="n">
        <v>0.334839</v>
      </c>
      <c r="AT63" s="15" t="n">
        <v>0.299428</v>
      </c>
      <c r="AU63" s="15" t="n">
        <v>0.131866</v>
      </c>
      <c r="AV63" s="15" t="n">
        <v>2</v>
      </c>
      <c r="AW63" s="15" t="n">
        <v>102.356201</v>
      </c>
      <c r="AX63" s="15" t="n">
        <v>38.266667</v>
      </c>
      <c r="AY63" s="15" t="n">
        <v>35.433333</v>
      </c>
    </row>
    <row r="64" customFormat="false" ht="15" hidden="false" customHeight="false" outlineLevel="0" collapsed="false">
      <c r="A64" s="8" t="s">
        <v>185</v>
      </c>
      <c r="B64" s="15" t="n">
        <v>0.37</v>
      </c>
      <c r="C64" s="15" t="n">
        <v>0.22</v>
      </c>
      <c r="D64" s="15" t="n">
        <v>-0.47</v>
      </c>
      <c r="E64" s="15" t="n">
        <v>0.67</v>
      </c>
      <c r="F64" s="15" t="n">
        <v>0.27</v>
      </c>
      <c r="G64" s="15" t="n">
        <v>-0.49</v>
      </c>
      <c r="H64" s="15" t="n">
        <v>0.400486</v>
      </c>
      <c r="I64" s="15" t="n">
        <v>0.290576</v>
      </c>
      <c r="J64" s="15" t="n">
        <v>0.077637</v>
      </c>
      <c r="K64" s="15" t="n">
        <v>0.101426</v>
      </c>
      <c r="L64" s="15" t="n">
        <v>0.121645</v>
      </c>
      <c r="M64" s="15" t="n">
        <v>0.164893</v>
      </c>
      <c r="N64" s="15" t="n">
        <v>0.215586</v>
      </c>
      <c r="O64" s="15" t="n">
        <v>0.242126</v>
      </c>
      <c r="P64" s="15" t="n">
        <v>0.254957</v>
      </c>
      <c r="Q64" s="15" t="n">
        <v>0.279058</v>
      </c>
      <c r="R64" s="15" t="n">
        <v>0.221801</v>
      </c>
      <c r="S64" s="15" t="n">
        <v>0.23765</v>
      </c>
      <c r="T64" s="15" t="n">
        <v>-0.222067</v>
      </c>
      <c r="U64" s="15" t="n">
        <v>0.257182</v>
      </c>
      <c r="V64" s="15" t="n">
        <v>0.35403</v>
      </c>
      <c r="W64" s="15" t="n">
        <v>-0.430826</v>
      </c>
      <c r="X64" s="15" t="n">
        <v>0.228113</v>
      </c>
      <c r="Y64" s="15" t="n">
        <v>0.414627</v>
      </c>
      <c r="Z64" s="15" t="n">
        <v>0.27732</v>
      </c>
      <c r="AA64" s="15" t="n">
        <v>0.073782</v>
      </c>
      <c r="AB64" s="15" t="n">
        <v>0.101424</v>
      </c>
      <c r="AC64" s="15" t="n">
        <v>0.135391</v>
      </c>
      <c r="AD64" s="15" t="n">
        <v>0.179489</v>
      </c>
      <c r="AE64" s="15" t="n">
        <v>0.216069</v>
      </c>
      <c r="AF64" s="15" t="n">
        <v>0.243717</v>
      </c>
      <c r="AG64" s="15" t="n">
        <v>0.253871</v>
      </c>
      <c r="AH64" s="15" t="n">
        <v>0.283601</v>
      </c>
      <c r="AI64" s="15" t="n">
        <v>0.253361</v>
      </c>
      <c r="AJ64" s="15" t="n">
        <v>0.195873</v>
      </c>
      <c r="AK64" s="15" t="n">
        <v>-0.240498</v>
      </c>
      <c r="AL64" s="15" t="n">
        <v>0.224785</v>
      </c>
      <c r="AM64" s="15" t="n">
        <v>0.304409</v>
      </c>
      <c r="AN64" s="15" t="n">
        <v>-0.429045</v>
      </c>
      <c r="AO64" s="15" t="n">
        <v>0.199841</v>
      </c>
      <c r="AP64" s="15" t="n">
        <v>0.188604</v>
      </c>
      <c r="AQ64" s="15" t="n">
        <v>0.455559</v>
      </c>
      <c r="AR64" s="15" t="n">
        <v>0.144696</v>
      </c>
      <c r="AS64" s="15" t="n">
        <v>0.325545</v>
      </c>
      <c r="AT64" s="15" t="n">
        <v>0.282421</v>
      </c>
      <c r="AU64" s="15" t="n">
        <v>-0.027359</v>
      </c>
      <c r="AV64" s="15" t="n">
        <v>1</v>
      </c>
      <c r="AW64" s="15" t="n">
        <v>102.767242</v>
      </c>
      <c r="AX64" s="15" t="n">
        <v>35.9</v>
      </c>
      <c r="AY64" s="15" t="n">
        <v>36.9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25.5" hidden="false" customHeight="true" outlineLevel="0" collapsed="false">
      <c r="B1" s="1" t="s">
        <v>186</v>
      </c>
    </row>
    <row r="2" customFormat="false" ht="15" hidden="false" customHeight="true" outlineLevel="0" collapsed="false">
      <c r="B2" s="2" t="s">
        <v>187</v>
      </c>
    </row>
    <row r="4" customFormat="false" ht="42" hidden="false" customHeight="true" outlineLevel="0" collapsed="false">
      <c r="A4" s="6" t="s">
        <v>188</v>
      </c>
      <c r="B4" s="6" t="s">
        <v>189</v>
      </c>
      <c r="C4" s="6" t="s">
        <v>190</v>
      </c>
      <c r="D4" s="6" t="s">
        <v>191</v>
      </c>
    </row>
    <row r="5" customFormat="false" ht="15" hidden="false" customHeight="false" outlineLevel="0" collapsed="false">
      <c r="A5" s="16" t="s">
        <v>29</v>
      </c>
      <c r="B5" s="16" t="s">
        <v>31</v>
      </c>
      <c r="C5" s="16" t="s">
        <v>192</v>
      </c>
      <c r="D5" s="16" t="s">
        <v>193</v>
      </c>
    </row>
    <row r="6" customFormat="false" ht="15" hidden="false" customHeight="false" outlineLevel="0" collapsed="false">
      <c r="A6" s="16" t="s">
        <v>29</v>
      </c>
      <c r="B6" s="16" t="s">
        <v>32</v>
      </c>
      <c r="C6" s="16" t="s">
        <v>192</v>
      </c>
      <c r="D6" s="16" t="s">
        <v>194</v>
      </c>
    </row>
    <row r="7" customFormat="false" ht="15" hidden="false" customHeight="false" outlineLevel="0" collapsed="false">
      <c r="A7" s="16" t="s">
        <v>29</v>
      </c>
      <c r="B7" s="16" t="s">
        <v>33</v>
      </c>
      <c r="C7" s="16" t="s">
        <v>192</v>
      </c>
      <c r="D7" s="16" t="s">
        <v>195</v>
      </c>
    </row>
    <row r="8" customFormat="false" ht="22.35" hidden="false" customHeight="false" outlineLevel="0" collapsed="false">
      <c r="A8" s="16" t="s">
        <v>29</v>
      </c>
      <c r="B8" s="16" t="s">
        <v>196</v>
      </c>
      <c r="C8" s="16" t="s">
        <v>197</v>
      </c>
      <c r="D8" s="16" t="s">
        <v>198</v>
      </c>
    </row>
    <row r="9" customFormat="false" ht="15" hidden="false" customHeight="false" outlineLevel="0" collapsed="false">
      <c r="A9" s="16" t="s">
        <v>29</v>
      </c>
      <c r="B9" s="16" t="s">
        <v>199</v>
      </c>
      <c r="C9" s="16" t="s">
        <v>200</v>
      </c>
      <c r="D9" s="16" t="s">
        <v>201</v>
      </c>
    </row>
    <row r="10" customFormat="false" ht="15" hidden="false" customHeight="false" outlineLevel="0" collapsed="false">
      <c r="A10" s="16" t="s">
        <v>29</v>
      </c>
      <c r="B10" s="16" t="s">
        <v>202</v>
      </c>
      <c r="C10" s="16" t="s">
        <v>203</v>
      </c>
      <c r="D10" s="16" t="s">
        <v>204</v>
      </c>
    </row>
    <row r="11" customFormat="false" ht="15" hidden="false" customHeight="false" outlineLevel="0" collapsed="false">
      <c r="A11" s="16" t="s">
        <v>50</v>
      </c>
      <c r="B11" s="16" t="s">
        <v>52</v>
      </c>
      <c r="C11" s="16" t="s">
        <v>192</v>
      </c>
      <c r="D11" s="16" t="s">
        <v>205</v>
      </c>
    </row>
    <row r="12" customFormat="false" ht="15" hidden="false" customHeight="false" outlineLevel="0" collapsed="false">
      <c r="A12" s="16" t="s">
        <v>50</v>
      </c>
      <c r="B12" s="16" t="s">
        <v>206</v>
      </c>
      <c r="C12" s="16" t="s">
        <v>192</v>
      </c>
      <c r="D12" s="16" t="s">
        <v>207</v>
      </c>
    </row>
    <row r="13" customFormat="false" ht="15" hidden="false" customHeight="false" outlineLevel="0" collapsed="false">
      <c r="A13" s="16" t="s">
        <v>50</v>
      </c>
      <c r="B13" s="16" t="s">
        <v>208</v>
      </c>
      <c r="C13" s="16" t="s">
        <v>209</v>
      </c>
      <c r="D13" s="16" t="s">
        <v>210</v>
      </c>
    </row>
    <row r="14" customFormat="false" ht="22.35" hidden="false" customHeight="false" outlineLevel="0" collapsed="false">
      <c r="A14" s="16" t="s">
        <v>50</v>
      </c>
      <c r="B14" s="16" t="s">
        <v>211</v>
      </c>
      <c r="C14" s="16" t="s">
        <v>212</v>
      </c>
      <c r="D14" s="16" t="s">
        <v>213</v>
      </c>
    </row>
    <row r="15" customFormat="false" ht="22.35" hidden="false" customHeight="false" outlineLevel="0" collapsed="false">
      <c r="A15" s="16" t="s">
        <v>50</v>
      </c>
      <c r="B15" s="16" t="s">
        <v>214</v>
      </c>
      <c r="C15" s="16" t="s">
        <v>212</v>
      </c>
      <c r="D15" s="16" t="s">
        <v>215</v>
      </c>
    </row>
    <row r="16" customFormat="false" ht="15" hidden="false" customHeight="false" outlineLevel="0" collapsed="false">
      <c r="A16" s="16" t="s">
        <v>50</v>
      </c>
      <c r="B16" s="16" t="s">
        <v>216</v>
      </c>
      <c r="C16" s="16" t="s">
        <v>212</v>
      </c>
      <c r="D16" s="16" t="s">
        <v>217</v>
      </c>
    </row>
    <row r="17" customFormat="false" ht="15" hidden="false" customHeight="false" outlineLevel="0" collapsed="false">
      <c r="A17" s="16" t="s">
        <v>50</v>
      </c>
      <c r="B17" s="16" t="s">
        <v>218</v>
      </c>
      <c r="C17" s="16" t="s">
        <v>219</v>
      </c>
      <c r="D17" s="16" t="s">
        <v>220</v>
      </c>
    </row>
    <row r="18" customFormat="false" ht="15" hidden="false" customHeight="false" outlineLevel="0" collapsed="false">
      <c r="A18" s="16" t="s">
        <v>50</v>
      </c>
      <c r="B18" s="16" t="s">
        <v>221</v>
      </c>
      <c r="C18" s="16" t="s">
        <v>212</v>
      </c>
      <c r="D18" s="16" t="s">
        <v>222</v>
      </c>
    </row>
    <row r="19" customFormat="false" ht="15" hidden="false" customHeight="false" outlineLevel="0" collapsed="false">
      <c r="A19" s="16" t="s">
        <v>50</v>
      </c>
      <c r="B19" s="16" t="s">
        <v>223</v>
      </c>
      <c r="C19" s="16" t="s">
        <v>192</v>
      </c>
      <c r="D19" s="16" t="s">
        <v>224</v>
      </c>
    </row>
    <row r="20" customFormat="false" ht="15" hidden="false" customHeight="false" outlineLevel="0" collapsed="false">
      <c r="A20" s="16" t="s">
        <v>50</v>
      </c>
      <c r="B20" s="16" t="s">
        <v>66</v>
      </c>
      <c r="C20" s="16" t="s">
        <v>192</v>
      </c>
      <c r="D20" s="16" t="s">
        <v>225</v>
      </c>
    </row>
    <row r="21" customFormat="false" ht="15" hidden="false" customHeight="false" outlineLevel="0" collapsed="false">
      <c r="A21" s="16" t="s">
        <v>13</v>
      </c>
      <c r="B21" s="16" t="s">
        <v>226</v>
      </c>
      <c r="C21" s="16" t="s">
        <v>192</v>
      </c>
      <c r="D21" s="16" t="s">
        <v>227</v>
      </c>
    </row>
    <row r="22" customFormat="false" ht="15" hidden="false" customHeight="false" outlineLevel="0" collapsed="false">
      <c r="A22" s="16" t="s">
        <v>13</v>
      </c>
      <c r="B22" s="16" t="s">
        <v>228</v>
      </c>
      <c r="C22" s="16" t="s">
        <v>192</v>
      </c>
      <c r="D22" s="16" t="s">
        <v>229</v>
      </c>
    </row>
    <row r="23" customFormat="false" ht="15" hidden="false" customHeight="false" outlineLevel="0" collapsed="false">
      <c r="A23" s="16" t="s">
        <v>13</v>
      </c>
      <c r="B23" s="16" t="s">
        <v>230</v>
      </c>
      <c r="C23" s="16" t="s">
        <v>231</v>
      </c>
      <c r="D23" s="16" t="s">
        <v>232</v>
      </c>
    </row>
    <row r="24" customFormat="false" ht="22.35" hidden="false" customHeight="false" outlineLevel="0" collapsed="false">
      <c r="A24" s="16" t="s">
        <v>13</v>
      </c>
      <c r="B24" s="16" t="s">
        <v>233</v>
      </c>
      <c r="C24" s="16" t="s">
        <v>192</v>
      </c>
      <c r="D24" s="16" t="s">
        <v>234</v>
      </c>
    </row>
    <row r="25" customFormat="false" ht="22.35" hidden="false" customHeight="false" outlineLevel="0" collapsed="false">
      <c r="A25" s="16" t="s">
        <v>13</v>
      </c>
      <c r="B25" s="16" t="s">
        <v>235</v>
      </c>
      <c r="C25" s="16" t="s">
        <v>236</v>
      </c>
      <c r="D25" s="16" t="s">
        <v>237</v>
      </c>
    </row>
    <row r="26" customFormat="false" ht="15" hidden="false" customHeight="false" outlineLevel="0" collapsed="false">
      <c r="A26" s="16" t="s">
        <v>13</v>
      </c>
      <c r="B26" s="16" t="s">
        <v>238</v>
      </c>
      <c r="C26" s="16" t="s">
        <v>192</v>
      </c>
      <c r="D26" s="16" t="s">
        <v>239</v>
      </c>
    </row>
    <row r="27" customFormat="false" ht="15" hidden="false" customHeight="false" outlineLevel="0" collapsed="false">
      <c r="A27" s="16" t="s">
        <v>13</v>
      </c>
      <c r="B27" s="16" t="s">
        <v>118</v>
      </c>
      <c r="C27" s="16" t="s">
        <v>192</v>
      </c>
      <c r="D27" s="16" t="s">
        <v>240</v>
      </c>
    </row>
    <row r="28" customFormat="false" ht="15" hidden="false" customHeight="false" outlineLevel="0" collapsed="false">
      <c r="A28" s="16" t="s">
        <v>13</v>
      </c>
      <c r="B28" s="16" t="s">
        <v>116</v>
      </c>
      <c r="C28" s="16" t="s">
        <v>192</v>
      </c>
      <c r="D28" s="16" t="s">
        <v>241</v>
      </c>
    </row>
    <row r="29" customFormat="false" ht="15" hidden="false" customHeight="false" outlineLevel="0" collapsed="false">
      <c r="A29" s="16" t="s">
        <v>13</v>
      </c>
      <c r="B29" s="16" t="s">
        <v>120</v>
      </c>
      <c r="C29" s="16" t="s">
        <v>242</v>
      </c>
      <c r="D29" s="16" t="s">
        <v>243</v>
      </c>
    </row>
    <row r="30" customFormat="false" ht="15" hidden="false" customHeight="false" outlineLevel="0" collapsed="false">
      <c r="A30" s="16" t="s">
        <v>13</v>
      </c>
      <c r="B30" s="16" t="s">
        <v>244</v>
      </c>
      <c r="C30" s="16" t="s">
        <v>245</v>
      </c>
      <c r="D30" s="16" t="s">
        <v>246</v>
      </c>
    </row>
    <row r="31" customFormat="false" ht="15" hidden="false" customHeight="false" outlineLevel="0" collapsed="false">
      <c r="A31" s="16" t="s">
        <v>13</v>
      </c>
      <c r="B31" s="16" t="s">
        <v>247</v>
      </c>
      <c r="C31" s="16" t="s">
        <v>212</v>
      </c>
      <c r="D31" s="16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2026-10-24T22:14:09Z</dcterms:created>
  <dc:creator>openpyxl</dc:creator>
  <dc:description/>
  <dc:language>en-US</dc:language>
  <cp:lastModifiedBy/>
  <dcterms:modified xsi:type="dcterms:W3CDTF">2026-10-24T22:14:10Z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